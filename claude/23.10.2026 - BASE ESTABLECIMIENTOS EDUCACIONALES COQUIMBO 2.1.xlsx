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e" sheetId="1" state="visible" r:id="rId3"/>
    <sheet name="Resumen" sheetId="2" state="visible" r:id="rId4"/>
    <sheet name="Fuentes y notas" sheetId="3" state="visible" r:id="rId5"/>
  </sheets>
  <definedNames>
    <definedName function="false" hidden="true" localSheetId="0" name="_xlnm._FilterDatabase" vbProcedure="false">Base!$A$4:$Y$169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O4" authorId="0">
      <text>
        <r>
          <rPr>
            <sz val="10"/>
            <rFont val="Arial"/>
            <family val="2"/>
          </rPr>
          <t xml:space="preserve">Establecimientos públicos: nómina 2026 del SLEP Puerto Cordillera (38 casos). Particulares: no hay registro público; completar con lo que informe cada establecimiento. Datos de menores de edad: uso restringido (ver hoja Fuentes y notas).</t>
        </r>
      </text>
    </comment>
  </commentList>
</comments>
</file>

<file path=xl/sharedStrings.xml><?xml version="1.0" encoding="utf-8"?>
<sst xmlns="http://schemas.openxmlformats.org/spreadsheetml/2006/main" count="2705" uniqueCount="1480">
  <si>
    <t xml:space="preserve">Establecimientos educacionales de la comuna de Coquimbo</t>
  </si>
  <si>
    <t xml:space="preserve">Corte: 05.10.2026. Universo: 154 establecimientos con RBD vigentes en el Directorio Oficial MINEDUC 2025 + 9 jardines VTF del SLEP Puerto Cordillera. Gobiernos estudiantiles 2026 de la educación pública integrados según nómina del SLEP. Actualización 23.10.2026: se agregan las 2 instituciones de educación superior con sede en la comuna (Ceduc UCN y UCN Sede Coquimbo). Celdas amarillas: por completar.</t>
  </si>
  <si>
    <t xml:space="preserve">N°</t>
  </si>
  <si>
    <t xml:space="preserve">RBD</t>
  </si>
  <si>
    <t xml:space="preserve">Nombre</t>
  </si>
  <si>
    <t xml:space="preserve">Dependencia</t>
  </si>
  <si>
    <t xml:space="preserve">Niveles</t>
  </si>
  <si>
    <t xml:space="preserve">Zona</t>
  </si>
  <si>
    <t xml:space="preserve">Matrícula 2025</t>
  </si>
  <si>
    <t xml:space="preserve">Director</t>
  </si>
  <si>
    <t xml:space="preserve">Fono institucional</t>
  </si>
  <si>
    <t xml:space="preserve">E-mail</t>
  </si>
  <si>
    <t xml:space="preserve">Dirección</t>
  </si>
  <si>
    <t xml:space="preserve">Aniversario</t>
  </si>
  <si>
    <t xml:space="preserve">Año de fundación</t>
  </si>
  <si>
    <t xml:space="preserve">Reconocimiento oficial (MINEDUC)</t>
  </si>
  <si>
    <t xml:space="preserve">Presidente/a centro de estudiantes</t>
  </si>
  <si>
    <t xml:space="preserve">Cargo (gobierno estudiantil)</t>
  </si>
  <si>
    <t xml:space="preserve">Correo presidente/a CEAL</t>
  </si>
  <si>
    <t xml:space="preserve">Fuente CEAL</t>
  </si>
  <si>
    <t xml:space="preserve">Sitio web</t>
  </si>
  <si>
    <t xml:space="preserve">Sostenedor</t>
  </si>
  <si>
    <t xml:space="preserve">Latitud</t>
  </si>
  <si>
    <t xml:space="preserve">Longitud</t>
  </si>
  <si>
    <t xml:space="preserve">Fuente contacto</t>
  </si>
  <si>
    <t xml:space="preserve">Fuente aniversario</t>
  </si>
  <si>
    <t xml:space="preserve">Observaciones</t>
  </si>
  <si>
    <t xml:space="preserve">Centro Laboral Jean Piaget</t>
  </si>
  <si>
    <t xml:space="preserve">Pública (SLEP Puerto Cordillera)</t>
  </si>
  <si>
    <t xml:space="preserve">Especial</t>
  </si>
  <si>
    <t xml:space="preserve">Urbana</t>
  </si>
  <si>
    <t xml:space="preserve">Rosa Pérez Ramírez</t>
  </si>
  <si>
    <t xml:space="preserve">+56 51 231 4914</t>
  </si>
  <si>
    <t xml:space="preserve">esc.jeanpiaget@slepuertocordillera.cl</t>
  </si>
  <si>
    <t xml:space="preserve">Miraflores N°525 – B</t>
  </si>
  <si>
    <t xml:space="preserve">30 de junio</t>
  </si>
  <si>
    <t xml:space="preserve">1972</t>
  </si>
  <si>
    <t xml:space="preserve">Resolución exenta 10036 de fecha 15/12/1981</t>
  </si>
  <si>
    <t xml:space="preserve">Diana Eliza Campos Barrera</t>
  </si>
  <si>
    <t xml:space="preserve">Presidenta de gobierno estudiantil</t>
  </si>
  <si>
    <t xml:space="preserve">esc.jeanpiaget@slepuertocordillera.cl (correo del establecimiento)</t>
  </si>
  <si>
    <t xml:space="preserve">SLEP Puerto Cordillera, nómina presidentas/es centros de estudiantes 2026</t>
  </si>
  <si>
    <t xml:space="preserve">Servicio Local De Educación Pública Puerto Cordillera</t>
  </si>
  <si>
    <t xml:space="preserve">SLEP Puerto Cordillera, tabla de establecimientos (act. 07.05.2026)</t>
  </si>
  <si>
    <t xml:space="preserve">PEI del establecimiento (MINEDUC)</t>
  </si>
  <si>
    <t xml:space="preserve">Colegio Cardenal Jose Maria Caro</t>
  </si>
  <si>
    <t xml:space="preserve">Parvularia, Básica, Media HC</t>
  </si>
  <si>
    <t xml:space="preserve">Domitila Pérez Díaz</t>
  </si>
  <si>
    <t xml:space="preserve">+56 44 369 1107</t>
  </si>
  <si>
    <t xml:space="preserve">esc.cardenaljosemariacaro@slepuertocordillera.cl</t>
  </si>
  <si>
    <t xml:space="preserve">Cardenal Caro N°701- sector El Llano</t>
  </si>
  <si>
    <t xml:space="preserve">Sin información</t>
  </si>
  <si>
    <t xml:space="preserve">Resolución exenta 10049 de fecha 15/12/1981</t>
  </si>
  <si>
    <t xml:space="preserve">Annais Victoria Badilla Valdivia</t>
  </si>
  <si>
    <t xml:space="preserve">Presidenta</t>
  </si>
  <si>
    <t xml:space="preserve">annaisbadillavaldivia@gmail.com</t>
  </si>
  <si>
    <t xml:space="preserve">Director según tabla SLEP; MIME registra a Eduardo Andrés Alfaro Espinoza: confirmar</t>
  </si>
  <si>
    <t xml:space="preserve">Colegio Pablo Neruda</t>
  </si>
  <si>
    <t xml:space="preserve">Parvularia, Básica, Media HC, Media TP</t>
  </si>
  <si>
    <t xml:space="preserve">Rural</t>
  </si>
  <si>
    <t xml:space="preserve">Manuel Salas López</t>
  </si>
  <si>
    <t xml:space="preserve">+56 51 223 9861</t>
  </si>
  <si>
    <t xml:space="preserve">col.pabloneruda@slepuertocordillera.cl</t>
  </si>
  <si>
    <t xml:space="preserve">RUTA D409 Km 18 – Camino Interior N°9505 – Pan de Azúcar</t>
  </si>
  <si>
    <t xml:space="preserve">Julio (celebración)</t>
  </si>
  <si>
    <t xml:space="preserve">1891</t>
  </si>
  <si>
    <t xml:space="preserve">Resolución exenta 10046 de fecha 15/12/1981</t>
  </si>
  <si>
    <t xml:space="preserve">Antonia Vera Cofré</t>
  </si>
  <si>
    <t xml:space="preserve">cofre.antonia30@gmail.com</t>
  </si>
  <si>
    <t xml:space="preserve">Noticias SLEP Puerto Cordillera (128 años, julio 2019)</t>
  </si>
  <si>
    <t xml:space="preserve">Director según tabla SLEP; MIME registra a Carla Francisca Álvarez Ibáñez: confirmar</t>
  </si>
  <si>
    <t xml:space="preserve">Colegio Santa Cecilia</t>
  </si>
  <si>
    <t xml:space="preserve">Parvularia, Básica</t>
  </si>
  <si>
    <t xml:space="preserve">Carola Alejandra Gutiérrez Piqueres</t>
  </si>
  <si>
    <t xml:space="preserve">+56 44 369 5859</t>
  </si>
  <si>
    <t xml:space="preserve">col.santacecilia@slepuertocordillera.cl</t>
  </si>
  <si>
    <t xml:space="preserve">Borgoño N°1100 – sector parte Alta</t>
  </si>
  <si>
    <t xml:space="preserve">7 de agosto</t>
  </si>
  <si>
    <t xml:space="preserve">1963</t>
  </si>
  <si>
    <t xml:space="preserve">Resolución exenta 10050 de fecha 01/01/2002</t>
  </si>
  <si>
    <t xml:space="preserve">Renato Martinez Torres</t>
  </si>
  <si>
    <t xml:space="preserve">Presidente</t>
  </si>
  <si>
    <t xml:space="preserve">maticito_26@hotmail.com</t>
  </si>
  <si>
    <t xml:space="preserve">PEI del establecimiento (MINEDUC); Noticias SLEP Puerto Cordillera</t>
  </si>
  <si>
    <t xml:space="preserve">Asumió por concurso de Alta Dirección Pública (SLEP, noticia 04.05.2026); la tabla del SLEP aún muestra al director anterior</t>
  </si>
  <si>
    <t xml:space="preserve">Colegio de Artes Claudio Arrau</t>
  </si>
  <si>
    <t xml:space="preserve">Jorge Alberto Ríos Ruiz</t>
  </si>
  <si>
    <t xml:space="preserve">+56 51 232 8751</t>
  </si>
  <si>
    <t xml:space="preserve">col.artesclaudioarrau@slepuertocordillera.cl</t>
  </si>
  <si>
    <t xml:space="preserve">Avda. Videla N°199</t>
  </si>
  <si>
    <t xml:space="preserve">3 de septiembre (PEI); el acto se ha celebrado en mayo</t>
  </si>
  <si>
    <t xml:space="preserve">1834</t>
  </si>
  <si>
    <t xml:space="preserve">Resolución exenta 10034 de fecha 15/12/1981</t>
  </si>
  <si>
    <t xml:space="preserve">Amparo Daira Yañez Nuñez</t>
  </si>
  <si>
    <t xml:space="preserve">ayanezn2872@gmail.com</t>
  </si>
  <si>
    <t xml:space="preserve">www.arraucoquimbo.cl</t>
  </si>
  <si>
    <t xml:space="preserve">PEI del establecimiento (MINEDUC); Noticias SLEP Puerto Cordillera (177° aniversario, mayo 2019)</t>
  </si>
  <si>
    <t xml:space="preserve">Según MIME; el director que figura en la tabla del SLEP (Carlos Videla) pasó al IAC Estado de Israel en mayo de 2026: confirmar si es titular o subrogante</t>
  </si>
  <si>
    <t xml:space="preserve">Colegio la Herradura</t>
  </si>
  <si>
    <t xml:space="preserve">Ernesto Lizana Valdivia</t>
  </si>
  <si>
    <t xml:space="preserve">+56 51 226 0370</t>
  </si>
  <si>
    <t xml:space="preserve">col.laherradura@slepuertocordillera.cl</t>
  </si>
  <si>
    <t xml:space="preserve">La Ermita N°355 – La Herradura</t>
  </si>
  <si>
    <t xml:space="preserve">Octubre (celebración)</t>
  </si>
  <si>
    <t xml:space="preserve">1853</t>
  </si>
  <si>
    <t xml:space="preserve">Resolución exenta 10051 de fecha 15/12/1981</t>
  </si>
  <si>
    <t xml:space="preserve">Damián Rojas Contreras</t>
  </si>
  <si>
    <t xml:space="preserve">col.laherradura@slepuertocordillera.cl (correo del establecimiento)</t>
  </si>
  <si>
    <t xml:space="preserve">Director según tabla SLEP; MIME registra a Sergio Eduardo Carrasset Godoy: confirmar</t>
  </si>
  <si>
    <t xml:space="preserve">Escuela Basica David Leon Tapia</t>
  </si>
  <si>
    <t xml:space="preserve">Parvularia, Básica, Especial</t>
  </si>
  <si>
    <t xml:space="preserve">Juan Humberto Cabrera Olivares</t>
  </si>
  <si>
    <t xml:space="preserve">+56 44 369 1097</t>
  </si>
  <si>
    <t xml:space="preserve">esc.davidleontapia@slepuertocordillera.cl</t>
  </si>
  <si>
    <t xml:space="preserve">Federico Silva N°210 – Tongoy</t>
  </si>
  <si>
    <t xml:space="preserve">17 de febrero</t>
  </si>
  <si>
    <t xml:space="preserve">1872</t>
  </si>
  <si>
    <t xml:space="preserve">Resolución exenta 10067 de fecha 15/12/1981</t>
  </si>
  <si>
    <t xml:space="preserve">Amaral Véliz Rojas</t>
  </si>
  <si>
    <t xml:space="preserve">amaralveliz339@gmail.com</t>
  </si>
  <si>
    <t xml:space="preserve">Escuela Basica Manuel de Salas</t>
  </si>
  <si>
    <t xml:space="preserve">Marcia Castro Valenzuela</t>
  </si>
  <si>
    <t xml:space="preserve">+56 44 369 1101</t>
  </si>
  <si>
    <t xml:space="preserve">esc.manueldesalas@slepuertocordillera.cl</t>
  </si>
  <si>
    <t xml:space="preserve">El Ocaso N°310 – Guanaqueros</t>
  </si>
  <si>
    <t xml:space="preserve">27 de marzo</t>
  </si>
  <si>
    <t xml:space="preserve">1947</t>
  </si>
  <si>
    <t xml:space="preserve">Resolución exenta 10038 de fecha 01/01/1981</t>
  </si>
  <si>
    <t xml:space="preserve">Gustavo Alonso Vega Vega</t>
  </si>
  <si>
    <t xml:space="preserve">gustavovegavega2@gmail.com</t>
  </si>
  <si>
    <t xml:space="preserve">Escuela Basica Mario Munoz Silva</t>
  </si>
  <si>
    <t xml:space="preserve">Jacqueline Palacios Araya</t>
  </si>
  <si>
    <t xml:space="preserve">+56 44 368 9693</t>
  </si>
  <si>
    <t xml:space="preserve">esc.mariomunoz@slepuertocordillera.cl</t>
  </si>
  <si>
    <t xml:space="preserve">Miraflores N°750</t>
  </si>
  <si>
    <t xml:space="preserve">16 de junio</t>
  </si>
  <si>
    <t xml:space="preserve">1927</t>
  </si>
  <si>
    <t xml:space="preserve">Resolución exenta 10059 de fecha 15/12/1981</t>
  </si>
  <si>
    <t xml:space="preserve">Monserrat Pérez Olivares</t>
  </si>
  <si>
    <t xml:space="preserve">esc.mariomunoz@slepuertocordillera.cl (correo del establecimiento)</t>
  </si>
  <si>
    <t xml:space="preserve">Director según tabla SLEP; MIME registra a Patricia Milena Maya Podestá: confirmar</t>
  </si>
  <si>
    <t xml:space="preserve">Escuela Basica Republica de Italia</t>
  </si>
  <si>
    <t xml:space="preserve">Jenny Vivian Salinas Rosales</t>
  </si>
  <si>
    <t xml:space="preserve">+56 44 369 1091</t>
  </si>
  <si>
    <t xml:space="preserve">esc.republicadeitalia@slepuertocordillera.cl</t>
  </si>
  <si>
    <t xml:space="preserve">Regimiento Arica N°1401</t>
  </si>
  <si>
    <t xml:space="preserve">30 de junio (resolución); acto en julio</t>
  </si>
  <si>
    <t xml:space="preserve">2005</t>
  </si>
  <si>
    <t xml:space="preserve">Resolución exenta 2263 de fecha 30/06/2005</t>
  </si>
  <si>
    <t xml:space="preserve">Micaela Acebo Flores</t>
  </si>
  <si>
    <t xml:space="preserve">esc.republicadeitalia@slepuertocordillera.cl (correo del establecimiento)</t>
  </si>
  <si>
    <t xml:space="preserve">Escuela Coquimbo</t>
  </si>
  <si>
    <t xml:space="preserve">Vanessa Ortega Valencia</t>
  </si>
  <si>
    <t xml:space="preserve">+56 51 232 0226</t>
  </si>
  <si>
    <t xml:space="preserve">esc.coquimbo@slepuertocordillera.cl</t>
  </si>
  <si>
    <t xml:space="preserve">Bilbao N°115</t>
  </si>
  <si>
    <t xml:space="preserve">11 de septiembre</t>
  </si>
  <si>
    <t xml:space="preserve">1901</t>
  </si>
  <si>
    <t xml:space="preserve">Resolución exenta 194 de fecha 29/03/1983</t>
  </si>
  <si>
    <t xml:space="preserve">Thiago Stephano Cruzado Felipe</t>
  </si>
  <si>
    <t xml:space="preserve">Presidente de gobierno estudiantil</t>
  </si>
  <si>
    <t xml:space="preserve">cruzadofelipethiago@gmail.com</t>
  </si>
  <si>
    <t xml:space="preserve">Escuela Diferencial Juan Sandoval C.</t>
  </si>
  <si>
    <t xml:space="preserve">Marjorie Alejandra Flores Blanco</t>
  </si>
  <si>
    <t xml:space="preserve">+56 51 232 2023</t>
  </si>
  <si>
    <t xml:space="preserve">esc.juansandoval@slepuertocordillera.cl</t>
  </si>
  <si>
    <t xml:space="preserve">Santa Elena N°385</t>
  </si>
  <si>
    <t xml:space="preserve">20 de marzo</t>
  </si>
  <si>
    <t xml:space="preserve">1973</t>
  </si>
  <si>
    <t xml:space="preserve">Resolución exenta 10037 de fecha 15/12/1981</t>
  </si>
  <si>
    <t xml:space="preserve">Chydan Espinoza Torres</t>
  </si>
  <si>
    <t xml:space="preserve">esc.juansandoval@slepuertocordillera.cl (correo del establecimiento)</t>
  </si>
  <si>
    <t xml:space="preserve">Escuela Guillermo Cereceda</t>
  </si>
  <si>
    <t xml:space="preserve">Carolina Castillo Lazo</t>
  </si>
  <si>
    <t xml:space="preserve">+56 44 369 2440</t>
  </si>
  <si>
    <t xml:space="preserve">esc.guillermocereceda@slepuertocordillera.cl</t>
  </si>
  <si>
    <t xml:space="preserve">Santiago Amengual N°364 – Pob. San Juan</t>
  </si>
  <si>
    <t xml:space="preserve">20 de septiembre</t>
  </si>
  <si>
    <t xml:space="preserve">1970</t>
  </si>
  <si>
    <t xml:space="preserve">Resolución exenta 10033 de fecha 15/12/1981</t>
  </si>
  <si>
    <t xml:space="preserve">Maite Godoy Brañas</t>
  </si>
  <si>
    <t xml:space="preserve">esc.guillermocereceda@slepuertocordillera.cl (correo del establecimiento)</t>
  </si>
  <si>
    <t xml:space="preserve">Escuela Jose Alfaro Alfaro</t>
  </si>
  <si>
    <t xml:space="preserve">Samuel Hernández Fajardo</t>
  </si>
  <si>
    <t xml:space="preserve">+56 44 369 2439</t>
  </si>
  <si>
    <t xml:space="preserve">esc.joseagustinalfaro@slepuertocordillera.cl</t>
  </si>
  <si>
    <t xml:space="preserve">Rafael Sotomayor N°105 – Ts. Blancas</t>
  </si>
  <si>
    <t xml:space="preserve">29 de abril</t>
  </si>
  <si>
    <t xml:space="preserve">1965</t>
  </si>
  <si>
    <t xml:space="preserve">Resolución exenta 10058 de fecha 15/01/1981</t>
  </si>
  <si>
    <t xml:space="preserve">Richard Ronaldo Rolón Gonzáles</t>
  </si>
  <si>
    <t xml:space="preserve">rolonrichardgonzales@gmail.com</t>
  </si>
  <si>
    <t xml:space="preserve">www.joseagustinalfaro.net</t>
  </si>
  <si>
    <t xml:space="preserve">PEI del establecimiento (MINEDUC); Noticias SLEP Puerto Cordillera (60 años, mayo 2025)</t>
  </si>
  <si>
    <t xml:space="preserve">Escuela Juan Pablo II</t>
  </si>
  <si>
    <t xml:space="preserve">Rodrigo Gonzalez Lobos</t>
  </si>
  <si>
    <t xml:space="preserve">+56 44 369 2438</t>
  </si>
  <si>
    <t xml:space="preserve">esc.juanpabloii@slepuertocordillera.cl</t>
  </si>
  <si>
    <t xml:space="preserve">Camino al Faro N°50 sector Parte Alta</t>
  </si>
  <si>
    <t xml:space="preserve">14 de marzo (inicio); acto 2025 en noviembre</t>
  </si>
  <si>
    <t xml:space="preserve">Resolución exenta 1502 de fecha 10/05/2005</t>
  </si>
  <si>
    <t xml:space="preserve">Renata Ibacache Madrid</t>
  </si>
  <si>
    <t xml:space="preserve">renata.ibacache.2014@gmail.com</t>
  </si>
  <si>
    <t xml:space="preserve">Escuela Lucila Godoy Alcayaga</t>
  </si>
  <si>
    <t xml:space="preserve">Mario Cerda Galván</t>
  </si>
  <si>
    <t xml:space="preserve">+56 51 227 7859</t>
  </si>
  <si>
    <t xml:space="preserve">esc.lucilagodoyalcayaga@slepuertocordillera.cl</t>
  </si>
  <si>
    <t xml:space="preserve">Avda. La Cantera Nº 2055 – sector Cantera Baja</t>
  </si>
  <si>
    <t xml:space="preserve">Resolución exenta 10048 de fecha 02/01/1981</t>
  </si>
  <si>
    <t xml:space="preserve">Martina Sepúlveda</t>
  </si>
  <si>
    <t xml:space="preserve">esc.lucilagodoyalcayaga@slepuertocordillera.cl (correo del establecimiento)</t>
  </si>
  <si>
    <t xml:space="preserve">Escuela Padre Alberto Hurtado Cruchaga</t>
  </si>
  <si>
    <t xml:space="preserve">Constanza Alejandra Robles Valdivia</t>
  </si>
  <si>
    <t xml:space="preserve">+56 44 369 2435</t>
  </si>
  <si>
    <t xml:space="preserve">esc.padrealbertohurtado@slepuertocordillera.cl</t>
  </si>
  <si>
    <t xml:space="preserve">Bellamar N°1111 sector Parte Alta</t>
  </si>
  <si>
    <t xml:space="preserve">7 de marzo</t>
  </si>
  <si>
    <t xml:space="preserve">Resolución exenta 773 de fecha 17/03/2005</t>
  </si>
  <si>
    <t xml:space="preserve">Florencia Marinzulic Ramos</t>
  </si>
  <si>
    <t xml:space="preserve">esc.padrealbertohurtado@slepuertocordillera.cl (correo del establecimiento)</t>
  </si>
  <si>
    <t xml:space="preserve">https://sites.google.com/slepuertocordillera.cl/escuelapahccoquimbo/boletín-informativo-no</t>
  </si>
  <si>
    <t xml:space="preserve">Escuela Presidente Anibal Pinto</t>
  </si>
  <si>
    <t xml:space="preserve">Maritza Fajardo Basaure</t>
  </si>
  <si>
    <t xml:space="preserve">+56 44 369 2433</t>
  </si>
  <si>
    <t xml:space="preserve">esc.presidenteanibalpinto@slepuertocordillera.cl</t>
  </si>
  <si>
    <t xml:space="preserve">Aníbal Pinto N°1319</t>
  </si>
  <si>
    <t xml:space="preserve">9 de octubre</t>
  </si>
  <si>
    <t xml:space="preserve">1944</t>
  </si>
  <si>
    <t xml:space="preserve">Resolución exenta 10035 de fecha 15/12/1981</t>
  </si>
  <si>
    <t xml:space="preserve">Maite Tarsetti</t>
  </si>
  <si>
    <t xml:space="preserve">tete.tarsetti@gmail.com</t>
  </si>
  <si>
    <t xml:space="preserve">www.eapinto.cl</t>
  </si>
  <si>
    <t xml:space="preserve">Escuela Republica de Grecia</t>
  </si>
  <si>
    <t xml:space="preserve">Juan Juica Cisternas</t>
  </si>
  <si>
    <t xml:space="preserve">+56 51 226 8024</t>
  </si>
  <si>
    <t xml:space="preserve">esc.republicadegrecia@slepuertocordillera.cl</t>
  </si>
  <si>
    <t xml:space="preserve">Eugenio Marzal N°288 – Villa Portugal</t>
  </si>
  <si>
    <t xml:space="preserve">10 de mayo (resolución de creación)</t>
  </si>
  <si>
    <t xml:space="preserve">Resolución exenta 1504 de fecha 10/05/2005</t>
  </si>
  <si>
    <t xml:space="preserve">Bárbara Sophia Peraza Lopez</t>
  </si>
  <si>
    <t xml:space="preserve">barbaraperaza988@gmail.com</t>
  </si>
  <si>
    <t xml:space="preserve">Director según tabla SLEP; MIME registra a Ricardo Antonio Ubilla Astudillo: confirmar</t>
  </si>
  <si>
    <t xml:space="preserve">Escuela San Rafael</t>
  </si>
  <si>
    <t xml:space="preserve">Carmen Gloria Morales Loezar</t>
  </si>
  <si>
    <t xml:space="preserve">+56 51 224 1864</t>
  </si>
  <si>
    <t xml:space="preserve">esc.sanrafael@slepuertocordillera.cl</t>
  </si>
  <si>
    <t xml:space="preserve">Ruta D409 – Km.13 – Pan de Azúcar</t>
  </si>
  <si>
    <t xml:space="preserve">Abril (celebración)</t>
  </si>
  <si>
    <t xml:space="preserve">1951</t>
  </si>
  <si>
    <t xml:space="preserve">Resolución exenta 00184 de fecha 28/03/1989</t>
  </si>
  <si>
    <t xml:space="preserve">Bastián Godoy Galaz</t>
  </si>
  <si>
    <t xml:space="preserve">esc.sanrafael@slepuertocordillera.cl (correo del establecimiento)</t>
  </si>
  <si>
    <t xml:space="preserve">www.escuelasanrafaelcoquimbo.cl</t>
  </si>
  <si>
    <t xml:space="preserve">Noticias SLEP Puerto Cordillera (68° aniversario, abril 2019)</t>
  </si>
  <si>
    <t xml:space="preserve">Escuela Santo Tomas de Aquino</t>
  </si>
  <si>
    <t xml:space="preserve">Verónica Soto Pereira</t>
  </si>
  <si>
    <t xml:space="preserve">+56 44 369 0450</t>
  </si>
  <si>
    <t xml:space="preserve">esc.santotomasdeaquino@slepuertocordillera.cl</t>
  </si>
  <si>
    <t xml:space="preserve">Talca N°1099 – Ts. Blancas</t>
  </si>
  <si>
    <t xml:space="preserve">19 de abril (inicio oficial: 22 de octubre)</t>
  </si>
  <si>
    <t xml:space="preserve">1976</t>
  </si>
  <si>
    <t xml:space="preserve">Resolución exenta 10053 de fecha 15/12/1981</t>
  </si>
  <si>
    <t xml:space="preserve">Jorge Jaramillo Guzmán</t>
  </si>
  <si>
    <t xml:space="preserve">esc.santotomasdeaquino@slepuertocordillera.cl (correo del establecimiento)</t>
  </si>
  <si>
    <t xml:space="preserve">Escuela Tomasa Olivares Caamano</t>
  </si>
  <si>
    <t xml:space="preserve">Felipe Rojas Belmar</t>
  </si>
  <si>
    <t xml:space="preserve">+56 51 231 9295</t>
  </si>
  <si>
    <t xml:space="preserve">esc.tomasaolivarescaamano@slepuertocordillera.cl</t>
  </si>
  <si>
    <t xml:space="preserve">Avda. Guacolda N°1945</t>
  </si>
  <si>
    <t xml:space="preserve">1986</t>
  </si>
  <si>
    <t xml:space="preserve">Resolución exenta 29 de fecha 07/01/1991</t>
  </si>
  <si>
    <t xml:space="preserve">Constanza Campusano Manríquez</t>
  </si>
  <si>
    <t xml:space="preserve">Presidenta del gobierno escolar</t>
  </si>
  <si>
    <t xml:space="preserve">dmenfermera@gmail.com</t>
  </si>
  <si>
    <t xml:space="preserve">sites.google.com/view/escuela-deportiva-digital/</t>
  </si>
  <si>
    <t xml:space="preserve">Escuela de Camarones</t>
  </si>
  <si>
    <t xml:space="preserve">+56 9 8308 7609</t>
  </si>
  <si>
    <t xml:space="preserve">haroldo_veliz@hotmail.com</t>
  </si>
  <si>
    <t xml:space="preserve">Camarones Km. 416 -ruta 5</t>
  </si>
  <si>
    <t xml:space="preserve">Resolución exenta 10055 de fecha 15/12/1981</t>
  </si>
  <si>
    <t xml:space="preserve">No aplica</t>
  </si>
  <si>
    <t xml:space="preserve">MINEDUC, Ficha del Establecimiento (MIME), consulta 05.10.2026</t>
  </si>
  <si>
    <t xml:space="preserve">Celular antiguo de 8 dígitos, se antepuso 9: verificar; Sin matrícula 2025 y fuera del listado del SLEP: probable receso; Sin matrícula informada en 2025; Sin director informado en MIME</t>
  </si>
  <si>
    <t xml:space="preserve">Escuela de Huachalalume</t>
  </si>
  <si>
    <t xml:space="preserve">Básica</t>
  </si>
  <si>
    <t xml:space="preserve">Karla Patricia Muñoz Jerez</t>
  </si>
  <si>
    <t xml:space="preserve">+56 9 4077 0336</t>
  </si>
  <si>
    <t xml:space="preserve">esc.huachalalume@slepuertocordillera.cl</t>
  </si>
  <si>
    <t xml:space="preserve">Calle Única s/n</t>
  </si>
  <si>
    <t xml:space="preserve">16 de agosto</t>
  </si>
  <si>
    <t xml:space="preserve">Resolución exenta 10041 de fecha 15/12/1981</t>
  </si>
  <si>
    <t xml:space="preserve">Matilde Collao</t>
  </si>
  <si>
    <t xml:space="preserve">esc.huachalalume@slepuertocordillera.cl (correo del establecimiento)</t>
  </si>
  <si>
    <t xml:space="preserve">Teléfono tomado de MIME (el SLEP no publica uno); Docente encargada desde marzo de 2025 (SLEP, noticia 06.03.2025) y según MIME; la tabla del SLEP muestra al encargado anterior</t>
  </si>
  <si>
    <t xml:space="preserve">Escuela de Penuelas</t>
  </si>
  <si>
    <t xml:space="preserve">Jenny Hill Sepúlveda</t>
  </si>
  <si>
    <t xml:space="preserve">+56 44 369 1292</t>
  </si>
  <si>
    <t xml:space="preserve">esc.penuelas@slepuertocordillera.cl</t>
  </si>
  <si>
    <t xml:space="preserve">Avda. Los Pescadores N°4870</t>
  </si>
  <si>
    <t xml:space="preserve">26 de agosto</t>
  </si>
  <si>
    <t xml:space="preserve">1952</t>
  </si>
  <si>
    <t xml:space="preserve">Resolución exenta 10054 de fecha 15/12/1981</t>
  </si>
  <si>
    <t xml:space="preserve">Diego Rojas</t>
  </si>
  <si>
    <t xml:space="preserve">esc.penuelas@slepuertocordillera.cl (correo del establecimiento)</t>
  </si>
  <si>
    <t xml:space="preserve">Escuela de Puerto Aldea</t>
  </si>
  <si>
    <t xml:space="preserve">Nilsson Véliz Véliz</t>
  </si>
  <si>
    <t xml:space="preserve">+56 9 8524 2056</t>
  </si>
  <si>
    <t xml:space="preserve">esc.puertoaldea@slepuertocordillera.cl</t>
  </si>
  <si>
    <t xml:space="preserve">Km. 68 Puerto Aldea</t>
  </si>
  <si>
    <t xml:space="preserve">8 de octubre</t>
  </si>
  <si>
    <t xml:space="preserve">1954</t>
  </si>
  <si>
    <t xml:space="preserve">Resolución exenta 10065 de fecha 15/12/1981</t>
  </si>
  <si>
    <t xml:space="preserve">Mía Pascal Tapia Araya</t>
  </si>
  <si>
    <t xml:space="preserve">esc.puertoaldea@slepuertocordillera.cl (correo del establecimiento)</t>
  </si>
  <si>
    <t xml:space="preserve">Escuela de Tambillos</t>
  </si>
  <si>
    <t xml:space="preserve">Javier Antonio Monardes Tapia</t>
  </si>
  <si>
    <t xml:space="preserve">+56 44 369 2423</t>
  </si>
  <si>
    <t xml:space="preserve">esc.tambillos@slepuertocordillera.cl</t>
  </si>
  <si>
    <t xml:space="preserve">Esmeralda N°35 – Tambillos</t>
  </si>
  <si>
    <t xml:space="preserve">Noviembre (celebración)</t>
  </si>
  <si>
    <t xml:space="preserve">1880</t>
  </si>
  <si>
    <t xml:space="preserve">Resolución exenta 1918 de fecha 21/12/1982</t>
  </si>
  <si>
    <t xml:space="preserve">Maira Leyton Cerda</t>
  </si>
  <si>
    <t xml:space="preserve">esc.tambillos@slepuertocordillera.cl (correo del establecimiento)</t>
  </si>
  <si>
    <t xml:space="preserve">Noticias SLEP Puerto Cordillera (145 años, nov. 2025); el PEI indica 1900</t>
  </si>
  <si>
    <t xml:space="preserve">Escuela de Totoralillo</t>
  </si>
  <si>
    <t xml:space="preserve">Robert Salas Pizarro</t>
  </si>
  <si>
    <t xml:space="preserve">+56 51 231 0184</t>
  </si>
  <si>
    <t xml:space="preserve">esc.totoralillo@slepuertocordillera.cl</t>
  </si>
  <si>
    <t xml:space="preserve">Totoralillo s/n</t>
  </si>
  <si>
    <t xml:space="preserve">8 de marzo</t>
  </si>
  <si>
    <t xml:space="preserve">1960</t>
  </si>
  <si>
    <t xml:space="preserve">Resolución exenta 10043 de fecha 15/12/1981</t>
  </si>
  <si>
    <t xml:space="preserve">Simón Alejandro Vega Véliz</t>
  </si>
  <si>
    <t xml:space="preserve">simonvega020@gmail.com</t>
  </si>
  <si>
    <t xml:space="preserve">Teléfono tomado de MIME (el SLEP no publica uno)</t>
  </si>
  <si>
    <t xml:space="preserve">Escuela de el Penon</t>
  </si>
  <si>
    <t xml:space="preserve">Luis Esteban Araya Valdivia</t>
  </si>
  <si>
    <t xml:space="preserve">+56 44 369 1114</t>
  </si>
  <si>
    <t xml:space="preserve">esc.elpenon@slepuertocordillera.cl</t>
  </si>
  <si>
    <t xml:space="preserve">Camino Coquimbo O’Higgins s/n</t>
  </si>
  <si>
    <t xml:space="preserve">c. 1920</t>
  </si>
  <si>
    <t xml:space="preserve">Resolución exenta 10063 de fecha 15/12/1981</t>
  </si>
  <si>
    <t xml:space="preserve">Erick Aguilera Álvarez</t>
  </si>
  <si>
    <t xml:space="preserve">esc.elpenon@slepuertocordillera.cl (correo del establecimiento)</t>
  </si>
  <si>
    <t xml:space="preserve">Escuela de el Tangue</t>
  </si>
  <si>
    <t xml:space="preserve">Kamila Muñoz Bustamantes</t>
  </si>
  <si>
    <t xml:space="preserve">esc.eltangue@slepuertocordillera.cl</t>
  </si>
  <si>
    <t xml:space="preserve">Km.60 Hacienda El Tangue</t>
  </si>
  <si>
    <t xml:space="preserve">12 de octubre</t>
  </si>
  <si>
    <t xml:space="preserve">Resolución exenta 10066 de fecha 15/12/1981</t>
  </si>
  <si>
    <t xml:space="preserve">Alonso Marín Bernal</t>
  </si>
  <si>
    <t xml:space="preserve">esc.eltangue@slepuertocordillera.cl (correo del establecimiento)</t>
  </si>
  <si>
    <t xml:space="preserve">Escuela de las Barrancas</t>
  </si>
  <si>
    <t xml:space="preserve">Sebastian Fernandez Rojas</t>
  </si>
  <si>
    <t xml:space="preserve">+56 44 369 2425</t>
  </si>
  <si>
    <t xml:space="preserve">esc.lasbarrancas@slepuertocordillera.cl</t>
  </si>
  <si>
    <t xml:space="preserve">Ruta D-43 Km. 37</t>
  </si>
  <si>
    <t xml:space="preserve">14 de junio</t>
  </si>
  <si>
    <t xml:space="preserve">1969</t>
  </si>
  <si>
    <t xml:space="preserve">Resolución exenta 10060 de fecha 15/12/1981</t>
  </si>
  <si>
    <t xml:space="preserve">Amalia González Véliz</t>
  </si>
  <si>
    <t xml:space="preserve">esc.lasbarrancas@slepuertocordillera.cl (correo del establecimiento)</t>
  </si>
  <si>
    <t xml:space="preserve">Escuela de las Cardas</t>
  </si>
  <si>
    <t xml:space="preserve">Celedonia Jorquera Rivera</t>
  </si>
  <si>
    <t xml:space="preserve">+56 9 3448 7519</t>
  </si>
  <si>
    <t xml:space="preserve">esc.lascardas@slepuertocordillera.cl</t>
  </si>
  <si>
    <t xml:space="preserve">Km.45 de la Ruta 43</t>
  </si>
  <si>
    <t xml:space="preserve">21 de noviembre</t>
  </si>
  <si>
    <t xml:space="preserve">c. 1928-1935</t>
  </si>
  <si>
    <t xml:space="preserve">Resolución exenta 10062 de fecha 15/12/1981</t>
  </si>
  <si>
    <t xml:space="preserve">Martin Alexis Cortés Juarez</t>
  </si>
  <si>
    <t xml:space="preserve">martinalexis.cortes.juarez@gmail.com</t>
  </si>
  <si>
    <t xml:space="preserve">PEI del establecimiento (MINEDUC) (fecha que asume la comunidad)</t>
  </si>
  <si>
    <t xml:space="preserve">Instituto de Adm. y Comercio Estado de Israel</t>
  </si>
  <si>
    <t xml:space="preserve">Básica, Media TP</t>
  </si>
  <si>
    <t xml:space="preserve">Carlos Videla Bonilla</t>
  </si>
  <si>
    <t xml:space="preserve">+56 51 231 9395</t>
  </si>
  <si>
    <t xml:space="preserve">iac.estadodeisrael@slepuertocordillera.cl</t>
  </si>
  <si>
    <t xml:space="preserve">Manuel Jesús Rivera N°320 – sector San Juan</t>
  </si>
  <si>
    <t xml:space="preserve">Mayo (celebración)</t>
  </si>
  <si>
    <t xml:space="preserve">Resolución exenta 1452 de fecha 06/05/2005</t>
  </si>
  <si>
    <t xml:space="preserve">Catalina Pavez Fuenzalida</t>
  </si>
  <si>
    <t xml:space="preserve">catalinapavezfuenzalida@gmail.com</t>
  </si>
  <si>
    <t xml:space="preserve">Noticias SLEP Puerto Cordillera (14 años, mayo 2019)</t>
  </si>
  <si>
    <t xml:space="preserve">Lic.De Cienc.Y Hum.San Josemaria Escriva</t>
  </si>
  <si>
    <t xml:space="preserve">Básica, Media HC</t>
  </si>
  <si>
    <t xml:space="preserve">Jaime Miranda Manríquez</t>
  </si>
  <si>
    <t xml:space="preserve">+56 51 226 8461</t>
  </si>
  <si>
    <t xml:space="preserve">lic.josemariaescriva@slepuertocordillera.cl</t>
  </si>
  <si>
    <t xml:space="preserve">Los Clarines N°1871</t>
  </si>
  <si>
    <t xml:space="preserve">1 de septiembre</t>
  </si>
  <si>
    <t xml:space="preserve">Resolución exenta 1451 de fecha 06/05/2005</t>
  </si>
  <si>
    <t xml:space="preserve">Ángela Muñoz Véliz</t>
  </si>
  <si>
    <t xml:space="preserve">angemunozve08@gmail.com</t>
  </si>
  <si>
    <t xml:space="preserve">Liceo Bicentenario de Excelencia Instituto Superior de Comercio de Coquimbo</t>
  </si>
  <si>
    <t xml:space="preserve">Media TP</t>
  </si>
  <si>
    <t xml:space="preserve">Fernando Carvajal Araya</t>
  </si>
  <si>
    <t xml:space="preserve">+56 51 232 1092 / +56 51 231 3968</t>
  </si>
  <si>
    <t xml:space="preserve">isc.coquimbo@slepuertocordillera.cl</t>
  </si>
  <si>
    <t xml:space="preserve">Doctor Marín N°367</t>
  </si>
  <si>
    <t xml:space="preserve">10 de mayo</t>
  </si>
  <si>
    <t xml:space="preserve">1905</t>
  </si>
  <si>
    <t xml:space="preserve">Resolución exenta 339 de fecha 01/03/2018</t>
  </si>
  <si>
    <t xml:space="preserve">Javiera Peña Velásquez</t>
  </si>
  <si>
    <t xml:space="preserve">javierapenavelasquez@gmail.com</t>
  </si>
  <si>
    <t xml:space="preserve">www.isccoquimbo.cl</t>
  </si>
  <si>
    <t xml:space="preserve">PEI del establecimiento (MINEDUC); Noticias SLEP Puerto Cordillera (120 años, mayo 2025)</t>
  </si>
  <si>
    <t xml:space="preserve">Liceo Carmen Aurora Rodriguez Henriquez</t>
  </si>
  <si>
    <t xml:space="preserve">Media HC, Media TP, Adultos</t>
  </si>
  <si>
    <t xml:space="preserve">Perla Araya Yañez</t>
  </si>
  <si>
    <t xml:space="preserve">+56 51 239 1570</t>
  </si>
  <si>
    <t xml:space="preserve">lic.carmenrodriguez@slepuertocordillera.cl</t>
  </si>
  <si>
    <t xml:space="preserve">Dolores Endeiza N°185 – Tongoy</t>
  </si>
  <si>
    <t xml:space="preserve">2 de agosto</t>
  </si>
  <si>
    <t xml:space="preserve">2000</t>
  </si>
  <si>
    <t xml:space="preserve">Resolución exenta 1765 de fecha 02/08/2000</t>
  </si>
  <si>
    <t xml:space="preserve">Sebastián Ignacio Saavedra Henríquez</t>
  </si>
  <si>
    <t xml:space="preserve">alex55521332@gmail.com</t>
  </si>
  <si>
    <t xml:space="preserve">Liceo Diego Portales</t>
  </si>
  <si>
    <t xml:space="preserve">Neusy Elizabeth Chelmes Julio</t>
  </si>
  <si>
    <t xml:space="preserve">+56 51 232 1015</t>
  </si>
  <si>
    <t xml:space="preserve">lic.diegoportales@slepuertocordillera.cl</t>
  </si>
  <si>
    <t xml:space="preserve">Avda. Francisco Varela Oriente N°950</t>
  </si>
  <si>
    <t xml:space="preserve">5 de abril</t>
  </si>
  <si>
    <t xml:space="preserve">1956</t>
  </si>
  <si>
    <t xml:space="preserve">Resolución exenta 10070 de fecha 15/12/1981</t>
  </si>
  <si>
    <t xml:space="preserve">Sofía Bruna Muñoz</t>
  </si>
  <si>
    <t xml:space="preserve">sofiab.bruna.munoz@gmail.com</t>
  </si>
  <si>
    <t xml:space="preserve">Liceo Fernando Binvignat Marin</t>
  </si>
  <si>
    <t xml:space="preserve">Vladimir Fuentes Jorquera</t>
  </si>
  <si>
    <t xml:space="preserve">+56 44 369 2430</t>
  </si>
  <si>
    <t xml:space="preserve">lic.fernandobinvignat@slepuertocordillera.cl</t>
  </si>
  <si>
    <t xml:space="preserve">Arauco N°1050 – Ts. Blancas</t>
  </si>
  <si>
    <t xml:space="preserve">18 de marzo</t>
  </si>
  <si>
    <t xml:space="preserve">1986 (inicio como anexo en 1983)</t>
  </si>
  <si>
    <t xml:space="preserve">Resolución exenta 216 de fecha 18/03/1986</t>
  </si>
  <si>
    <t xml:space="preserve">Luciana Fernández Guerrero</t>
  </si>
  <si>
    <t xml:space="preserve">lic.fernandobinvignat@slepuertocordillera.cl (correo del establecimiento)</t>
  </si>
  <si>
    <t xml:space="preserve">www.liceobinvignat.cl</t>
  </si>
  <si>
    <t xml:space="preserve">Liceo Industrial Jose Tomas de Urmeneta</t>
  </si>
  <si>
    <t xml:space="preserve">Jorge Carvajal Araya</t>
  </si>
  <si>
    <t xml:space="preserve">+56 44 369 1128</t>
  </si>
  <si>
    <t xml:space="preserve">lic.industrialjosetomas@slepuertocordillera.cl</t>
  </si>
  <si>
    <t xml:space="preserve">Ossandón N°1000</t>
  </si>
  <si>
    <t xml:space="preserve">25 de mayo</t>
  </si>
  <si>
    <t xml:space="preserve">1966</t>
  </si>
  <si>
    <t xml:space="preserve">Resolución exenta 1075 de fecha 21/11/1983</t>
  </si>
  <si>
    <t xml:space="preserve">Maverick Grosling</t>
  </si>
  <si>
    <t xml:space="preserve">mav.gross1617@gmail.com</t>
  </si>
  <si>
    <t xml:space="preserve">Jardín Infantil Corazones Magicos</t>
  </si>
  <si>
    <t xml:space="preserve">Pública VTF (SLEP Puerto Cordillera)</t>
  </si>
  <si>
    <t xml:space="preserve">Sala cuna y niveles medios</t>
  </si>
  <si>
    <t xml:space="preserve">Daniela Gómez Romero</t>
  </si>
  <si>
    <t xml:space="preserve">+56 51 226 6856</t>
  </si>
  <si>
    <t xml:space="preserve">jar.corazonesmagicos@slepuertocordillera.cl</t>
  </si>
  <si>
    <t xml:space="preserve">Avenida Portugal N°207 sector San Juan</t>
  </si>
  <si>
    <t xml:space="preserve">Servicio Local de Educación Pública Puerto Cordillera</t>
  </si>
  <si>
    <t xml:space="preserve">Jardín Infantil Fernando Binvignat</t>
  </si>
  <si>
    <t xml:space="preserve">Cecilia Aguirre Hidalgo</t>
  </si>
  <si>
    <t xml:space="preserve">+56 44 369 0830</t>
  </si>
  <si>
    <t xml:space="preserve">jar.fernandobinvignat@slepuertocordillera.cl</t>
  </si>
  <si>
    <t xml:space="preserve">Jardín Infantil Intercultural</t>
  </si>
  <si>
    <t xml:space="preserve">Romina Paz Herrera Bustamante</t>
  </si>
  <si>
    <t xml:space="preserve">+56 51 224 7180</t>
  </si>
  <si>
    <t xml:space="preserve">jar.interculturalcoquimbo@slepuertocordillera.cl</t>
  </si>
  <si>
    <t xml:space="preserve">Parque Nacional Magallanes N°1599 sector Bosque San Carlos</t>
  </si>
  <si>
    <t xml:space="preserve">Jardín Infantil Juan Pablo II</t>
  </si>
  <si>
    <t xml:space="preserve">Valeska Slomp Vergara</t>
  </si>
  <si>
    <t xml:space="preserve">+56 51 231 2802</t>
  </si>
  <si>
    <t xml:space="preserve">jar.juanpabloii@slepuertocordillera.cl</t>
  </si>
  <si>
    <t xml:space="preserve">Jardín Infantil Nidito de Amor</t>
  </si>
  <si>
    <t xml:space="preserve">Marcela Valdivia Albornoz</t>
  </si>
  <si>
    <t xml:space="preserve">+56 44 369 1092</t>
  </si>
  <si>
    <t xml:space="preserve">jar.nidodeamor@slepuertocordillera.cl</t>
  </si>
  <si>
    <t xml:space="preserve">Aconcagua con Aroca S/N</t>
  </si>
  <si>
    <t xml:space="preserve">El SLEP no indica comuna; confirmar si es Coquimbo o Andacollo</t>
  </si>
  <si>
    <t xml:space="preserve">Jardín Infantil Pedacito de Cielo</t>
  </si>
  <si>
    <t xml:space="preserve">Monserrat Huidobro Reyes</t>
  </si>
  <si>
    <t xml:space="preserve">+56 51 231 3691</t>
  </si>
  <si>
    <t xml:space="preserve">jar.pedacitodecielo@slepuertocordillera.cl</t>
  </si>
  <si>
    <t xml:space="preserve">Miraflores N°750 sector Porvenir Coquimbo</t>
  </si>
  <si>
    <t xml:space="preserve">Jardín Infantil San Rafael</t>
  </si>
  <si>
    <t xml:space="preserve">Maria Loreto Anacona Contreras</t>
  </si>
  <si>
    <t xml:space="preserve">+56 51 224 5634</t>
  </si>
  <si>
    <t xml:space="preserve">jar.pandeazucar@slepuertocordillera.cl</t>
  </si>
  <si>
    <t xml:space="preserve">Carretera Secundaria D-409 Km 13- Pan de Azúcar</t>
  </si>
  <si>
    <t xml:space="preserve">Fines de mayo / inicios de junio (celebración)</t>
  </si>
  <si>
    <t xml:space="preserve">2010</t>
  </si>
  <si>
    <t xml:space="preserve">Noticias SLEP Puerto Cordillera (9.° aniv. jun. 2019; 12.° may. 2022)</t>
  </si>
  <si>
    <t xml:space="preserve">Jardín Infantil Santo Tomas de Aquino</t>
  </si>
  <si>
    <t xml:space="preserve">Teresa Rozas Zabala</t>
  </si>
  <si>
    <t xml:space="preserve">+56 44 369 2431</t>
  </si>
  <si>
    <t xml:space="preserve">jar.santotomasdeaquino@slepuertocordillera.cl</t>
  </si>
  <si>
    <t xml:space="preserve">Calle Talca N°1099, sector Tierras Blancas</t>
  </si>
  <si>
    <t xml:space="preserve">Jardín Infantil Tesoritos</t>
  </si>
  <si>
    <t xml:space="preserve">Maria Jose Espinosa Guaman</t>
  </si>
  <si>
    <t xml:space="preserve">jar.bilbao@slepuertocordillera.cl</t>
  </si>
  <si>
    <t xml:space="preserve">Bilbao N°115 Centro Coquimbo</t>
  </si>
  <si>
    <t xml:space="preserve">Aula Hospitalaria de Coquimbo</t>
  </si>
  <si>
    <t xml:space="preserve">Particular subvencionado</t>
  </si>
  <si>
    <t xml:space="preserve">Martín Hernando Perez-cueto Deza</t>
  </si>
  <si>
    <t xml:space="preserve">+56 51 267 4683</t>
  </si>
  <si>
    <t xml:space="preserve">coquimbo@ahss.cl</t>
  </si>
  <si>
    <t xml:space="preserve">Cirujano Videla Sn</t>
  </si>
  <si>
    <t xml:space="preserve">Resolución exenta 1632 de fecha 30/06/2016</t>
  </si>
  <si>
    <t xml:space="preserve">Por completar</t>
  </si>
  <si>
    <t xml:space="preserve">www.ahss.cl</t>
  </si>
  <si>
    <t xml:space="preserve">Aulas Hospitalarias San Sebastian E.i.e.</t>
  </si>
  <si>
    <t xml:space="preserve">Centro Est.Y Des.Integral del Nino</t>
  </si>
  <si>
    <t xml:space="preserve">Básica, Especial</t>
  </si>
  <si>
    <t xml:space="preserve">Mary Carmen Hidalgo Olivares</t>
  </si>
  <si>
    <t xml:space="preserve">+56 51 256 4657</t>
  </si>
  <si>
    <t xml:space="preserve">cedincovico@hotmail.com</t>
  </si>
  <si>
    <t xml:space="preserve">Avenida Alessandri 1175</t>
  </si>
  <si>
    <t xml:space="preserve">Resolución exenta 1702 de fecha 26/06/2018</t>
  </si>
  <si>
    <t xml:space="preserve">www.cedin.cl</t>
  </si>
  <si>
    <t xml:space="preserve">Corporación Educacional Centro De Estudios Y Desarrollo Integral Del Niño</t>
  </si>
  <si>
    <t xml:space="preserve">Centro de Educacion Integral de Adultos Santa</t>
  </si>
  <si>
    <t xml:space="preserve">Adultos</t>
  </si>
  <si>
    <t xml:space="preserve">Lorena Alejandra García Ibacache</t>
  </si>
  <si>
    <t xml:space="preserve">+56 51 249 8728</t>
  </si>
  <si>
    <t xml:space="preserve">ceiasantateresa@gmail.com</t>
  </si>
  <si>
    <t xml:space="preserve">Las Dalias - Sindempart - Coquimbo 308</t>
  </si>
  <si>
    <t xml:space="preserve">Marzo</t>
  </si>
  <si>
    <t xml:space="preserve">2011</t>
  </si>
  <si>
    <t xml:space="preserve">Resolución exenta 2569 de fecha 14/12/2017</t>
  </si>
  <si>
    <t xml:space="preserve">www.santateresa.cl</t>
  </si>
  <si>
    <t xml:space="preserve">Corporación Educacional Santa Teresa De Los Andes De Sindempart</t>
  </si>
  <si>
    <t xml:space="preserve">Colegio Adultos San Luis</t>
  </si>
  <si>
    <t xml:space="preserve">Camila Paz Andrea Crisosto Barrales</t>
  </si>
  <si>
    <t xml:space="preserve">+56 51 254 6230</t>
  </si>
  <si>
    <t xml:space="preserve">luiggi@wilug.cl</t>
  </si>
  <si>
    <t xml:space="preserve">Avda. Ossandon 150, El Llano</t>
  </si>
  <si>
    <t xml:space="preserve">17 de marzo (reconocimiento oficial)</t>
  </si>
  <si>
    <t xml:space="preserve">2004</t>
  </si>
  <si>
    <t xml:space="preserve">Resolución exenta 236 de fecha 13/02/2018</t>
  </si>
  <si>
    <t xml:space="preserve">www.ceiasanluis.cl</t>
  </si>
  <si>
    <t xml:space="preserve">Corporación Educacional  San Luis De Coquimbo</t>
  </si>
  <si>
    <t xml:space="preserve">Número antiguo de 6 dígitos, se antepuso 2: verificar</t>
  </si>
  <si>
    <t xml:space="preserve">Colegio Adultos las Violetas</t>
  </si>
  <si>
    <t xml:space="preserve">Arturo Javier Galleguillos Trigo</t>
  </si>
  <si>
    <t xml:space="preserve">+56 51 226 6090</t>
  </si>
  <si>
    <t xml:space="preserve">galleguillostrigo@gmail.com</t>
  </si>
  <si>
    <t xml:space="preserve">Las Violetas Sindempart 1159</t>
  </si>
  <si>
    <t xml:space="preserve">Resolución exenta 1827 de fecha 29/06/2018</t>
  </si>
  <si>
    <t xml:space="preserve">www.colegiolasvioletas.cl</t>
  </si>
  <si>
    <t xml:space="preserve">Corporación Educacional Las Violetas</t>
  </si>
  <si>
    <t xml:space="preserve">Colegio Alta Cordillera</t>
  </si>
  <si>
    <t xml:space="preserve">Parvularia, Básica, Media HC, Adultos</t>
  </si>
  <si>
    <t xml:space="preserve">Cecilia Marcela Tamayo Plaza</t>
  </si>
  <si>
    <t xml:space="preserve">+56 51 231 7507</t>
  </si>
  <si>
    <t xml:space="preserve">direccionaltacordillera@gmail.com</t>
  </si>
  <si>
    <t xml:space="preserve">Cardenal Carlos Oviedo 3380</t>
  </si>
  <si>
    <t xml:space="preserve">30 de junio (reconocimiento oficial)</t>
  </si>
  <si>
    <t xml:space="preserve">2008</t>
  </si>
  <si>
    <t xml:space="preserve">Resolución exenta 1888 de fecha 29/06/2018</t>
  </si>
  <si>
    <t xml:space="preserve">www.altacordilleracoquimbo.cl</t>
  </si>
  <si>
    <t xml:space="preserve">Corporación Educacional Alta Cordillera</t>
  </si>
  <si>
    <t xml:space="preserve">Colegio Altazor</t>
  </si>
  <si>
    <t xml:space="preserve">Ingrid Marlene Itha Hornig Saldías</t>
  </si>
  <si>
    <t xml:space="preserve">+56 51 223 2193</t>
  </si>
  <si>
    <t xml:space="preserve">colegioaltazorcqbo@gmail.com</t>
  </si>
  <si>
    <t xml:space="preserve">Regimiento Arica 700</t>
  </si>
  <si>
    <t xml:space="preserve">2002</t>
  </si>
  <si>
    <t xml:space="preserve">Resolución exenta 1875 de fecha 29/06/2018</t>
  </si>
  <si>
    <t xml:space="preserve">www.colegioaltazor.cl</t>
  </si>
  <si>
    <t xml:space="preserve">Corporacion Educacional Altazor  De Coquimbo</t>
  </si>
  <si>
    <t xml:space="preserve">Colegio Arauco</t>
  </si>
  <si>
    <t xml:space="preserve">Carolina Alejandra Dinamarca Bonilla</t>
  </si>
  <si>
    <t xml:space="preserve">+56 51 260 5219</t>
  </si>
  <si>
    <t xml:space="preserve">colarauco@yahoo.es</t>
  </si>
  <si>
    <t xml:space="preserve">Arauco 988</t>
  </si>
  <si>
    <t xml:space="preserve">1995 (como jardín)</t>
  </si>
  <si>
    <t xml:space="preserve">Resolución exenta 520 de fecha 10/03/2003</t>
  </si>
  <si>
    <t xml:space="preserve">Corporación Educacional Araya, Valdés Y Araya</t>
  </si>
  <si>
    <t xml:space="preserve">Colegio Bernardo O´Higgins</t>
  </si>
  <si>
    <t xml:space="preserve">Wilson Ismael Puelles Jopia</t>
  </si>
  <si>
    <t xml:space="preserve">+56 51 231 3192</t>
  </si>
  <si>
    <t xml:space="preserve">bernardoohigginscqbo@gmail.com</t>
  </si>
  <si>
    <t xml:space="preserve">Avenida Matta 86</t>
  </si>
  <si>
    <t xml:space="preserve">Resolución exenta 1790 de fecha 29/06/2018</t>
  </si>
  <si>
    <t xml:space="preserve">www.cbo.cl</t>
  </si>
  <si>
    <t xml:space="preserve">Corporacion Educacional Colegio Bernardo O` Higgins- Coquimbo</t>
  </si>
  <si>
    <t xml:space="preserve">Colegio Cabo Alto</t>
  </si>
  <si>
    <t xml:space="preserve">Ana Oriela Toro Ogalde</t>
  </si>
  <si>
    <t xml:space="preserve">+56 51 232 2035</t>
  </si>
  <si>
    <t xml:space="preserve">andres.ac77@gmail.com</t>
  </si>
  <si>
    <t xml:space="preserve">Portales 962</t>
  </si>
  <si>
    <t xml:space="preserve">23 de junio</t>
  </si>
  <si>
    <t xml:space="preserve">2009</t>
  </si>
  <si>
    <t xml:space="preserve">Resolución exenta 1847 de fecha 29/06/2009</t>
  </si>
  <si>
    <t xml:space="preserve">www.caboalto.cl</t>
  </si>
  <si>
    <t xml:space="preserve">Corporación Educacional Alta Cima</t>
  </si>
  <si>
    <t xml:space="preserve">Colegio Cristobal Colon</t>
  </si>
  <si>
    <t xml:space="preserve">Angélica Del Rosario Bravo Salas</t>
  </si>
  <si>
    <t xml:space="preserve">+56 51 226 5624</t>
  </si>
  <si>
    <t xml:space="preserve">dinko.koscina@fundacioncolon.cl</t>
  </si>
  <si>
    <t xml:space="preserve">Los Clarines 2201</t>
  </si>
  <si>
    <t xml:space="preserve">1994</t>
  </si>
  <si>
    <t xml:space="preserve">Resolución exenta 1874 de fecha 29/06/2018</t>
  </si>
  <si>
    <t xml:space="preserve">colegiocolon.cl</t>
  </si>
  <si>
    <t xml:space="preserve">Fundación Educacional Colón</t>
  </si>
  <si>
    <t xml:space="preserve">Colegio Discovery</t>
  </si>
  <si>
    <t xml:space="preserve">Debbie Karin Álvarez Gutiérrez</t>
  </si>
  <si>
    <t xml:space="preserve">+56 51 252 0027</t>
  </si>
  <si>
    <t xml:space="preserve">directora@discoveryschool.cl</t>
  </si>
  <si>
    <t xml:space="preserve">Pedro Lagos , Sector El Llano 721</t>
  </si>
  <si>
    <t xml:space="preserve">2007</t>
  </si>
  <si>
    <t xml:space="preserve">Resolución exenta 1853 de fecha 29/06/2018</t>
  </si>
  <si>
    <t xml:space="preserve">discoveryschool.cl</t>
  </si>
  <si>
    <t xml:space="preserve">Corporación Educacional Aventura</t>
  </si>
  <si>
    <t xml:space="preserve">Colegio Domingo Faustino Sarmiento</t>
  </si>
  <si>
    <t xml:space="preserve">Ximena Javiera Barraza Solís</t>
  </si>
  <si>
    <t xml:space="preserve">+56 51 232 3588</t>
  </si>
  <si>
    <t xml:space="preserve">colegio.dfs.coquimbo@gmail.com</t>
  </si>
  <si>
    <t xml:space="preserve">Pedro Montt 220. El Llano 220</t>
  </si>
  <si>
    <t xml:space="preserve">Resolución exenta 2179 de fecha 06/08/2018</t>
  </si>
  <si>
    <t xml:space="preserve">Corporación Educacional Domingo Faustino Sarmiento</t>
  </si>
  <si>
    <t xml:space="preserve">Colegio Espanol</t>
  </si>
  <si>
    <t xml:space="preserve">Media HC</t>
  </si>
  <si>
    <t xml:space="preserve">Giannina Andrea De Los Angeles Lotito Manterola</t>
  </si>
  <si>
    <t xml:space="preserve">+56 51 254 9114</t>
  </si>
  <si>
    <t xml:space="preserve">cespa_q@hotmail.com</t>
  </si>
  <si>
    <t xml:space="preserve">Avenida Alessandri 303</t>
  </si>
  <si>
    <t xml:space="preserve">1998</t>
  </si>
  <si>
    <t xml:space="preserve">Resolución exenta 1929 de fecha 29/06/2018</t>
  </si>
  <si>
    <t xml:space="preserve">Corporación Educacional Colegio Español</t>
  </si>
  <si>
    <t xml:space="preserve">Colegio Eusebio Lillo Punta Mira</t>
  </si>
  <si>
    <t xml:space="preserve">Ivonne Annabele Oyarce González</t>
  </si>
  <si>
    <t xml:space="preserve">+56 51 247 2430</t>
  </si>
  <si>
    <t xml:space="preserve">corporacion.eusebiolillo@gmail.com</t>
  </si>
  <si>
    <t xml:space="preserve">Calle Nueva 2801</t>
  </si>
  <si>
    <t xml:space="preserve">10 de febrero</t>
  </si>
  <si>
    <t xml:space="preserve">Resolución exenta 1785 de fecha 29/06/2018</t>
  </si>
  <si>
    <t xml:space="preserve">www.eusebiolillo.com</t>
  </si>
  <si>
    <t xml:space="preserve">Corporación Educacional Eusebio Lillo</t>
  </si>
  <si>
    <t xml:space="preserve">Colegio Francis School</t>
  </si>
  <si>
    <t xml:space="preserve">Francis Gema Oyarzún Caru</t>
  </si>
  <si>
    <t xml:space="preserve">+56 51 226 6562</t>
  </si>
  <si>
    <t xml:space="preserve">frangecar@gmail.com</t>
  </si>
  <si>
    <t xml:space="preserve">Los Tulipanes 254</t>
  </si>
  <si>
    <t xml:space="preserve">1990 (jardín) / 1991 (colegio)</t>
  </si>
  <si>
    <t xml:space="preserve">Resolución exenta 0765 de fecha 27/06/1990</t>
  </si>
  <si>
    <t xml:space="preserve">www.francisschool.cl</t>
  </si>
  <si>
    <t xml:space="preserve">Fundación Educacional Francis School</t>
  </si>
  <si>
    <t xml:space="preserve">Colegio Golden Hind School</t>
  </si>
  <si>
    <t xml:space="preserve">Graciela Del Pilar Mardones Díaz</t>
  </si>
  <si>
    <t xml:space="preserve">+56 51 226 3667</t>
  </si>
  <si>
    <t xml:space="preserve">contacto@goldenhindschool.cl</t>
  </si>
  <si>
    <t xml:space="preserve">Eduardo Mallea 401</t>
  </si>
  <si>
    <t xml:space="preserve">2006</t>
  </si>
  <si>
    <t xml:space="preserve">Resolución exenta 1791 de fecha 29/06/2018</t>
  </si>
  <si>
    <t xml:space="preserve">goldenhindschool.cl</t>
  </si>
  <si>
    <t xml:space="preserve">Corporación Educacional Masadi</t>
  </si>
  <si>
    <t xml:space="preserve">Colegio Hellen Keller Peñuelas</t>
  </si>
  <si>
    <t xml:space="preserve">Ivonne Yanett Gutiérrez Pozo</t>
  </si>
  <si>
    <t xml:space="preserve">+56 2 2381 3829</t>
  </si>
  <si>
    <t xml:space="preserve">colegiohellenkeller@gmail.com</t>
  </si>
  <si>
    <t xml:space="preserve">Av Nueva Uno 595</t>
  </si>
  <si>
    <t xml:space="preserve">Resolución exenta 4056 de fecha 04/12/2007</t>
  </si>
  <si>
    <t xml:space="preserve">www.colegiohellenkeller.cl</t>
  </si>
  <si>
    <t xml:space="preserve">Fundación Educacional Colegio Hellen Keller</t>
  </si>
  <si>
    <t xml:space="preserve">Prefijo de Santiago: verificar</t>
  </si>
  <si>
    <t xml:space="preserve">Colegio Horizontes</t>
  </si>
  <si>
    <t xml:space="preserve">Jean Paul Reyes Altamirano</t>
  </si>
  <si>
    <t xml:space="preserve">+56 51 224 2298</t>
  </si>
  <si>
    <t xml:space="preserve">colegiohorizontes@colegiohorizontes.cl</t>
  </si>
  <si>
    <t xml:space="preserve">Parque Nacional Fray Jorge 1153</t>
  </si>
  <si>
    <t xml:space="preserve">Resolución exenta 567 de fecha 15/03/2018</t>
  </si>
  <si>
    <t xml:space="preserve">www.colegiohorizontes.cl</t>
  </si>
  <si>
    <t xml:space="preserve">Fundación  Educacional Nuevos Horizontes</t>
  </si>
  <si>
    <t xml:space="preserve">Colegio Jose Marti Perez</t>
  </si>
  <si>
    <t xml:space="preserve">Parvularia, Básica, Adultos</t>
  </si>
  <si>
    <t xml:space="preserve">Ginia Andrea Saavedra Espinosa</t>
  </si>
  <si>
    <t xml:space="preserve">+56 51 256 1323</t>
  </si>
  <si>
    <t xml:space="preserve">gsaavedra@josemarti.cl</t>
  </si>
  <si>
    <t xml:space="preserve">Director Lagarrigue, San Juan 735</t>
  </si>
  <si>
    <t xml:space="preserve">Resolución exenta 1894 de fecha 29/06/2006</t>
  </si>
  <si>
    <t xml:space="preserve">www.josemarti.cl</t>
  </si>
  <si>
    <t xml:space="preserve">José Marti Corporacion Educacional</t>
  </si>
  <si>
    <t xml:space="preserve">Colegio Manuel Montt</t>
  </si>
  <si>
    <t xml:space="preserve">Danisa Tatiana Bonilla Cabezas</t>
  </si>
  <si>
    <t xml:space="preserve">+56 9 9193 3967</t>
  </si>
  <si>
    <t xml:space="preserve">colegiomanuelmontt@gmail.com</t>
  </si>
  <si>
    <t xml:space="preserve">Los Espinos Sur 2715 El Sauce Miramar</t>
  </si>
  <si>
    <t xml:space="preserve">Resolución exenta 1882 de fecha 29/06/2018</t>
  </si>
  <si>
    <t xml:space="preserve">colegiomanuelmontt.cl</t>
  </si>
  <si>
    <t xml:space="preserve">Corporación Educacional Manuel Montt</t>
  </si>
  <si>
    <t xml:space="preserve">Celular antiguo de 8 dígitos, se antepuso 9: verificar</t>
  </si>
  <si>
    <t xml:space="preserve">Colegio Maria Educa</t>
  </si>
  <si>
    <t xml:space="preserve">Susana Del Carmen Salgado Cardemil</t>
  </si>
  <si>
    <t xml:space="preserve">+56 51 223 0423</t>
  </si>
  <si>
    <t xml:space="preserve">graciela.guerrero@mariaeduca.cl</t>
  </si>
  <si>
    <t xml:space="preserve">Fray Jorge, Bosque San Carlos 850</t>
  </si>
  <si>
    <t xml:space="preserve">Resolución exenta 843 de fecha 09/05/2002</t>
  </si>
  <si>
    <t xml:space="preserve">www.mariaeduca.cl</t>
  </si>
  <si>
    <t xml:space="preserve">Fundacion Maria Educa</t>
  </si>
  <si>
    <t xml:space="preserve">Colegio Maria de Andacollo</t>
  </si>
  <si>
    <t xml:space="preserve">Irma Cecilia Medrano Castillo</t>
  </si>
  <si>
    <t xml:space="preserve">+56 51 224 3729</t>
  </si>
  <si>
    <t xml:space="preserve">mariadeandacollo@hotmail.com</t>
  </si>
  <si>
    <t xml:space="preserve">Luis Torres Araya , Tierras Blancas 14</t>
  </si>
  <si>
    <t xml:space="preserve">2003</t>
  </si>
  <si>
    <t xml:space="preserve">Resolución exenta 1832 de fecha 29/06/2018</t>
  </si>
  <si>
    <t xml:space="preserve">www.colegiomariadeandacollo.cl</t>
  </si>
  <si>
    <t xml:space="preserve">Corporacion Educacional María De Andacollo</t>
  </si>
  <si>
    <t xml:space="preserve">Colegio Metodista de Coquimbo</t>
  </si>
  <si>
    <t xml:space="preserve">Luis Eduardo Contreras Aguilar</t>
  </si>
  <si>
    <t xml:space="preserve">+56 51 240 0150</t>
  </si>
  <si>
    <t xml:space="preserve">contacto@escuelametodista.cl</t>
  </si>
  <si>
    <t xml:space="preserve">San Martin 1598</t>
  </si>
  <si>
    <t xml:space="preserve">13 de agosto</t>
  </si>
  <si>
    <t xml:space="preserve">1953</t>
  </si>
  <si>
    <t xml:space="preserve">Resolución exenta 993 de fecha 15/05/2017</t>
  </si>
  <si>
    <t xml:space="preserve">www.escuelametodista.cl</t>
  </si>
  <si>
    <t xml:space="preserve">Corporacion Metodista</t>
  </si>
  <si>
    <t xml:space="preserve">Colegio Olimpo</t>
  </si>
  <si>
    <t xml:space="preserve">Juan Domingo Molina Chilla</t>
  </si>
  <si>
    <t xml:space="preserve">+56 2 2316 7446</t>
  </si>
  <si>
    <t xml:space="preserve">olimpocolegio@gmail.com</t>
  </si>
  <si>
    <t xml:space="preserve">Subteniente Héctor Lacrampette 114</t>
  </si>
  <si>
    <t xml:space="preserve">Resolución exenta 13525 de fecha 02/06/2003</t>
  </si>
  <si>
    <t xml:space="preserve">www.colegioadultosolimpo.cl</t>
  </si>
  <si>
    <t xml:space="preserve">Corporacion Manantial</t>
  </si>
  <si>
    <t xml:space="preserve">Colegio Padre Pio</t>
  </si>
  <si>
    <t xml:space="preserve">Carmen Gloria Núñez Bonilla</t>
  </si>
  <si>
    <t xml:space="preserve">+56 51 254 9909</t>
  </si>
  <si>
    <t xml:space="preserve">escuela.tongoy@gmail.com</t>
  </si>
  <si>
    <t xml:space="preserve">Fundacion Loteo 112 Tongoy 156</t>
  </si>
  <si>
    <t xml:space="preserve">2014</t>
  </si>
  <si>
    <t xml:space="preserve">Resolución exenta 2642 de fecha 10/04/2014</t>
  </si>
  <si>
    <t xml:space="preserve">Corporación Educacional Dayca</t>
  </si>
  <si>
    <t xml:space="preserve">Colegio Part. Komvux - Coquimbo</t>
  </si>
  <si>
    <t xml:space="preserve">Carolina Luisa Muñoz Carvajal</t>
  </si>
  <si>
    <t xml:space="preserve">+56 2 2857 3495</t>
  </si>
  <si>
    <t xml:space="preserve">colegiokomvuxcoquimbo@gmail.com</t>
  </si>
  <si>
    <t xml:space="preserve">Av. Pdte. Arturo Alessandri 1859</t>
  </si>
  <si>
    <t xml:space="preserve">1993</t>
  </si>
  <si>
    <t xml:space="preserve">Resolución exenta 1296 de fecha 09/05/2018</t>
  </si>
  <si>
    <t xml:space="preserve">www.colegiokomvux.cl</t>
  </si>
  <si>
    <t xml:space="preserve">Corporacion Educacional Colegio Komvux</t>
  </si>
  <si>
    <t xml:space="preserve">Colegio Particular Calasanz</t>
  </si>
  <si>
    <t xml:space="preserve">Enrique Roberto Arenas Otárola</t>
  </si>
  <si>
    <t xml:space="preserve">+56 51 224 1497</t>
  </si>
  <si>
    <t xml:space="preserve">colegio@calasanztb.cl</t>
  </si>
  <si>
    <t xml:space="preserve">Valdivia 951</t>
  </si>
  <si>
    <t xml:space="preserve">Resolución exenta 317 de fecha 07/04/1987</t>
  </si>
  <si>
    <t xml:space="preserve">calasanztb.cl</t>
  </si>
  <si>
    <t xml:space="preserve">Pio Instituto Hijas De Maria Religiosas De Las Escuelas Pias</t>
  </si>
  <si>
    <t xml:space="preserve">Colegio Particular Gabriela Mistral</t>
  </si>
  <si>
    <t xml:space="preserve">Luisa Mariela De Lourdes Cuello Yuschkewitz</t>
  </si>
  <si>
    <t xml:space="preserve">+56 51 231 1577</t>
  </si>
  <si>
    <t xml:space="preserve">colgami@gmail.com</t>
  </si>
  <si>
    <t xml:space="preserve">Abtao 22</t>
  </si>
  <si>
    <t xml:space="preserve">Resolución exenta 01240 de fecha 15/09/1982</t>
  </si>
  <si>
    <t xml:space="preserve">www.colegiogabrielamistralcoquimbo.cl</t>
  </si>
  <si>
    <t xml:space="preserve">Corporación Colegio Gabriela Mistral De Coquimbo</t>
  </si>
  <si>
    <t xml:space="preserve">Colegio Particular Leonardo Da Vinci</t>
  </si>
  <si>
    <t xml:space="preserve">Alejandra Angélica Román Calquín</t>
  </si>
  <si>
    <t xml:space="preserve">+56 51 224 8772</t>
  </si>
  <si>
    <t xml:space="preserve">secretaria@davincicoquimbo.cl</t>
  </si>
  <si>
    <t xml:space="preserve">Juan Barrera Cortes - El Agrado De Penuelas 2050</t>
  </si>
  <si>
    <t xml:space="preserve">Marzo (inicio de clases)</t>
  </si>
  <si>
    <t xml:space="preserve">1995</t>
  </si>
  <si>
    <t xml:space="preserve">Resolución exenta 1887 de fecha 29/06/2018</t>
  </si>
  <si>
    <t xml:space="preserve">www.davincicoquimbo.cl</t>
  </si>
  <si>
    <t xml:space="preserve">Corporación Educacional Peñuelas</t>
  </si>
  <si>
    <t xml:space="preserve">Colegio Particular San Francisco Javier</t>
  </si>
  <si>
    <t xml:space="preserve">Lorena Pilar Araya Núñez</t>
  </si>
  <si>
    <t xml:space="preserve">+56 51 263 3798</t>
  </si>
  <si>
    <t xml:space="preserve">sostenedor@corporacionsfj.cl</t>
  </si>
  <si>
    <t xml:space="preserve">Lincoyan 065</t>
  </si>
  <si>
    <t xml:space="preserve">Resolución exenta 560 de fecha 04/04/2017</t>
  </si>
  <si>
    <t xml:space="preserve">www.corporacionsfj.cl</t>
  </si>
  <si>
    <t xml:space="preserve">Corporación Educacional San Francisco Javier</t>
  </si>
  <si>
    <t xml:space="preserve">Colegio Particular San Gabriel</t>
  </si>
  <si>
    <t xml:space="preserve">Aída Ester Segovia Álvarez</t>
  </si>
  <si>
    <t xml:space="preserve">+56 9 9770 1573</t>
  </si>
  <si>
    <t xml:space="preserve">colegiosangabrielcoquimbo@gmail.com</t>
  </si>
  <si>
    <t xml:space="preserve">Eleuterio Ramirez 440</t>
  </si>
  <si>
    <t xml:space="preserve">Resolución exenta 22254 de fecha 23/11/2017</t>
  </si>
  <si>
    <t xml:space="preserve">San Gabriel Arcangel E.i.e.</t>
  </si>
  <si>
    <t xml:space="preserve">Colegio Particular San Ignacio</t>
  </si>
  <si>
    <t xml:space="preserve">Dayana Karim Carmona Álvarez</t>
  </si>
  <si>
    <t xml:space="preserve">+56 51 226 4048</t>
  </si>
  <si>
    <t xml:space="preserve">sanignacio.basica@gmail.com</t>
  </si>
  <si>
    <t xml:space="preserve">Jose Toha , Herradura Oriente 1550</t>
  </si>
  <si>
    <t xml:space="preserve">1 de marzo</t>
  </si>
  <si>
    <t xml:space="preserve">1982</t>
  </si>
  <si>
    <t xml:space="preserve">Resolución exenta 17 de fecha 07/01/1982</t>
  </si>
  <si>
    <t xml:space="preserve">www.sanignacio-coquimbo.cl</t>
  </si>
  <si>
    <t xml:space="preserve">Corporación Educacional San Ignacio De Coquimbo</t>
  </si>
  <si>
    <t xml:space="preserve">Colegio Particular Tongoy</t>
  </si>
  <si>
    <t xml:space="preserve">Carolina Selemine González Burgos</t>
  </si>
  <si>
    <t xml:space="preserve">+56 51 257 7654</t>
  </si>
  <si>
    <t xml:space="preserve">coorporacionet@gmail.com</t>
  </si>
  <si>
    <t xml:space="preserve">Avenida Barnes 75</t>
  </si>
  <si>
    <t xml:space="preserve">Resolución exenta 1603 de fecha 25/07/2017</t>
  </si>
  <si>
    <t xml:space="preserve">Corporacion Educacional Colegio Tongoy</t>
  </si>
  <si>
    <t xml:space="preserve">Colegio Rakiduam</t>
  </si>
  <si>
    <t xml:space="preserve">Carolina Del Carmen Pizarro Lagos</t>
  </si>
  <si>
    <t xml:space="preserve">+56 51 254 6103</t>
  </si>
  <si>
    <t xml:space="preserve">direccion@colegiorakiduam.cl</t>
  </si>
  <si>
    <t xml:space="preserve">Avenida La Cantera 610</t>
  </si>
  <si>
    <t xml:space="preserve">Resolución exenta 1788 de fecha 29/06/2018</t>
  </si>
  <si>
    <t xml:space="preserve">www.colegiorakiduam.cl</t>
  </si>
  <si>
    <t xml:space="preserve">Fundación Educacional Rakiduam</t>
  </si>
  <si>
    <t xml:space="preserve">Colegio San Lorenzo</t>
  </si>
  <si>
    <t xml:space="preserve">Soledad Del Rosario Salazar Aracena</t>
  </si>
  <si>
    <t xml:space="preserve">+56 51 227 7056</t>
  </si>
  <si>
    <t xml:space="preserve">soledad.salazar.ara20@colsanlorenzo.cl</t>
  </si>
  <si>
    <t xml:space="preserve">Narciso Herrera 2575</t>
  </si>
  <si>
    <t xml:space="preserve">Resolución exenta 578 de fecha 16/03/2018</t>
  </si>
  <si>
    <t xml:space="preserve">www.colegiosanlorenzolacantera.cl</t>
  </si>
  <si>
    <t xml:space="preserve">Corporación Colegio San Lorenzo  De Coquimbo</t>
  </si>
  <si>
    <t xml:space="preserve">Colegio San Luis</t>
  </si>
  <si>
    <t xml:space="preserve">Dafne Yarella Zúñiga Carvajal</t>
  </si>
  <si>
    <t xml:space="preserve">+56 51 254 6240</t>
  </si>
  <si>
    <t xml:space="preserve">Avda Ossandon 350</t>
  </si>
  <si>
    <t xml:space="preserve">Resolución exenta 238 de fecha 13/02/2018</t>
  </si>
  <si>
    <t xml:space="preserve">www.instagram.com/colegio_sanluis_coquimbo/</t>
  </si>
  <si>
    <t xml:space="preserve">Colegio Santa Familia</t>
  </si>
  <si>
    <t xml:space="preserve">Pamela Carolina Arancibia Araya</t>
  </si>
  <si>
    <t xml:space="preserve">+56 51 226 6516</t>
  </si>
  <si>
    <t xml:space="preserve">corporacionsanguillermo@colegiosantafamilia.cl</t>
  </si>
  <si>
    <t xml:space="preserve">Eduardo Mallea 601</t>
  </si>
  <si>
    <t xml:space="preserve">1999</t>
  </si>
  <si>
    <t xml:space="preserve">Resolución exenta 756 de fecha 01/03/1999</t>
  </si>
  <si>
    <t xml:space="preserve">www.colegiosantafamilia.cl</t>
  </si>
  <si>
    <t xml:space="preserve">Corporación Educacional San Guillermo</t>
  </si>
  <si>
    <t xml:space="preserve">Colegio Santa Helena College</t>
  </si>
  <si>
    <t xml:space="preserve">Elena Adelaida Varela Sierra</t>
  </si>
  <si>
    <t xml:space="preserve">+56 9 8449 8473</t>
  </si>
  <si>
    <t xml:space="preserve">santahelenacollege@gmail.com</t>
  </si>
  <si>
    <t xml:space="preserve">Avda Videla 235</t>
  </si>
  <si>
    <t xml:space="preserve">Resolución exenta 1856 de fecha 29/06/2018</t>
  </si>
  <si>
    <t xml:space="preserve">w.w.w.shcc.cl</t>
  </si>
  <si>
    <t xml:space="preserve">Corporacion Educacional Santa Helena College</t>
  </si>
  <si>
    <t xml:space="preserve">Colegio Santa Maria de Belen N_ 162</t>
  </si>
  <si>
    <t xml:space="preserve">Patricia Elena Castillo Oros</t>
  </si>
  <si>
    <t xml:space="preserve">+56 51 226 8040</t>
  </si>
  <si>
    <t xml:space="preserve">secretariasmbelen@gmail.com</t>
  </si>
  <si>
    <t xml:space="preserve">Las Begonias Sindempart 361 - 371</t>
  </si>
  <si>
    <t xml:space="preserve">Resolución exenta 1067 de fecha 16/06/1993</t>
  </si>
  <si>
    <t xml:space="preserve">www.smbelenfranciscanas.cl</t>
  </si>
  <si>
    <t xml:space="preserve">Hermanas Franciscanas Misioneras De Jesus</t>
  </si>
  <si>
    <t xml:space="preserve">Colegio Santa Maria del Refugio</t>
  </si>
  <si>
    <t xml:space="preserve">Carla Yanina Castillo Varas</t>
  </si>
  <si>
    <t xml:space="preserve">+56 51 260 5073</t>
  </si>
  <si>
    <t xml:space="preserve">contacto@santamariadelrefugio.com</t>
  </si>
  <si>
    <t xml:space="preserve">Padre Hurtado 911</t>
  </si>
  <si>
    <t xml:space="preserve">2 de abril (reconocimiento oficial)</t>
  </si>
  <si>
    <t xml:space="preserve">2001</t>
  </si>
  <si>
    <t xml:space="preserve">Resolución exenta 3760 de fecha 01/01/2002</t>
  </si>
  <si>
    <t xml:space="preserve">www.santamariadelrefugio.com</t>
  </si>
  <si>
    <t xml:space="preserve">Colegio Santa Marta</t>
  </si>
  <si>
    <t xml:space="preserve">María Isabel Castro Ríos</t>
  </si>
  <si>
    <t xml:space="preserve">+56 51 267 2760</t>
  </si>
  <si>
    <t xml:space="preserve">fecosamarta@gmail.com</t>
  </si>
  <si>
    <t xml:space="preserve">Manuel Rodriguez 2110</t>
  </si>
  <si>
    <t xml:space="preserve">Resolución exenta 5012 de fecha 19/11/1981</t>
  </si>
  <si>
    <t xml:space="preserve">www.colegiosantamartacoquimbo.cl</t>
  </si>
  <si>
    <t xml:space="preserve">Fundacion Educacional Colegio Santa Marta Coq</t>
  </si>
  <si>
    <t xml:space="preserve">Colegio Tecnico Profesional Altue</t>
  </si>
  <si>
    <t xml:space="preserve">Básica, Media HC, Media TP</t>
  </si>
  <si>
    <t xml:space="preserve">Sergio Sebastián Idilio Moraga Cruz</t>
  </si>
  <si>
    <t xml:space="preserve">+56 9 4000 5627</t>
  </si>
  <si>
    <t xml:space="preserve">wgonzalezsulantay@gmail.com</t>
  </si>
  <si>
    <t xml:space="preserve">Cabo Exequiel Aroca 1340</t>
  </si>
  <si>
    <t xml:space="preserve">11 de marzo</t>
  </si>
  <si>
    <t xml:space="preserve">Resolución exenta 1785 de fecha 12/09/2016</t>
  </si>
  <si>
    <t xml:space="preserve">www.colegioaltue.cl</t>
  </si>
  <si>
    <t xml:space="preserve">Corporaciòn Educacional Cristo De La Misericordia</t>
  </si>
  <si>
    <t xml:space="preserve">Colegio de Jóvenes y Adultos Ossandón</t>
  </si>
  <si>
    <t xml:space="preserve">Camila Alejandra Urrutia Zambra</t>
  </si>
  <si>
    <t xml:space="preserve">+56 51 275 1801</t>
  </si>
  <si>
    <t xml:space="preserve">lseferino@gmail.com</t>
  </si>
  <si>
    <t xml:space="preserve">Ossandón 815</t>
  </si>
  <si>
    <t xml:space="preserve">2018</t>
  </si>
  <si>
    <t xml:space="preserve">Resolución exenta 60 de fecha 16/01/2019</t>
  </si>
  <si>
    <t xml:space="preserve">colegioossandon.cl</t>
  </si>
  <si>
    <t xml:space="preserve">Corporación Educacional Lihuen</t>
  </si>
  <si>
    <t xml:space="preserve">Esc. Esp. Trans. del Leng. Cordillera Sindemp</t>
  </si>
  <si>
    <t xml:space="preserve">Carolina Andrea Sexton Arancibia</t>
  </si>
  <si>
    <t xml:space="preserve">+56 51 226 9000</t>
  </si>
  <si>
    <t xml:space="preserve">escuela.lenguaje.cordillera@gmail.com</t>
  </si>
  <si>
    <t xml:space="preserve">Las Pataguas 1265</t>
  </si>
  <si>
    <t xml:space="preserve">3 de marzo (inicio); gala de aniversario en junio</t>
  </si>
  <si>
    <t xml:space="preserve">Resolución exenta 1800 de fecha 29/06/2018</t>
  </si>
  <si>
    <t xml:space="preserve">Corporacion Educacional Escuela Especial Cordillera Sindempart</t>
  </si>
  <si>
    <t xml:space="preserve">Esc. Esp. de Lenguaje Hispanoamericana</t>
  </si>
  <si>
    <t xml:space="preserve">Elizabeth Yessenia Hidalgo Santiagos</t>
  </si>
  <si>
    <t xml:space="preserve">+56 9 3575 9784</t>
  </si>
  <si>
    <t xml:space="preserve">directora@escuelahispanoamericana.cl</t>
  </si>
  <si>
    <t xml:space="preserve">11 De Septiembre 348, Sector San Juan</t>
  </si>
  <si>
    <t xml:space="preserve">Julio</t>
  </si>
  <si>
    <t xml:space="preserve">Resolución exenta 1815 de fecha 29/06/2018</t>
  </si>
  <si>
    <t xml:space="preserve">www.escuelahispanoamericana.cl</t>
  </si>
  <si>
    <t xml:space="preserve">Escuela De Lenguaje Hispanoamericana Corporación Educacional</t>
  </si>
  <si>
    <t xml:space="preserve">Esc. Esp. de Trast. del Lenguaje Cordillera P</t>
  </si>
  <si>
    <t xml:space="preserve">Carolina Andrea Diaz Alday</t>
  </si>
  <si>
    <t xml:space="preserve">+56 51 227 8000</t>
  </si>
  <si>
    <t xml:space="preserve">escuelacordilleraporvenir1@gmail.com</t>
  </si>
  <si>
    <t xml:space="preserve">Rio Huentelauquen 1500</t>
  </si>
  <si>
    <t xml:space="preserve">2 de marzo</t>
  </si>
  <si>
    <t xml:space="preserve">Resolución exenta 1801 de fecha 29/06/2018</t>
  </si>
  <si>
    <t xml:space="preserve">Corporacion Educacional Escuela Especial Cordillera Porvenir</t>
  </si>
  <si>
    <t xml:space="preserve">Esc. Especial de Lenguaje Alto del Miramar</t>
  </si>
  <si>
    <t xml:space="preserve">Estefanía Belén Segovia Bonilla</t>
  </si>
  <si>
    <t xml:space="preserve">+56 51 231 0583</t>
  </si>
  <si>
    <t xml:space="preserve">directoraam2019@gmail.com</t>
  </si>
  <si>
    <t xml:space="preserve">Miramar Poniente 412, Parte Alta</t>
  </si>
  <si>
    <t xml:space="preserve">3 de mayo</t>
  </si>
  <si>
    <t xml:space="preserve">Resolución exenta 1792 de fecha 29/06/2018</t>
  </si>
  <si>
    <t xml:space="preserve">Corporación Educacional Perspectiva</t>
  </si>
  <si>
    <t xml:space="preserve">Esc. de Trast. Especificos de Leguaje Jose M</t>
  </si>
  <si>
    <t xml:space="preserve">Marcela Del Carmen González Campaña</t>
  </si>
  <si>
    <t xml:space="preserve">+56 51 232 2738</t>
  </si>
  <si>
    <t xml:space="preserve">escueladelenguajejosemarti@hotmail.com</t>
  </si>
  <si>
    <t xml:space="preserve">Santiago Amengual 21, Poblacion San Juan</t>
  </si>
  <si>
    <t xml:space="preserve">18 de junio</t>
  </si>
  <si>
    <t xml:space="preserve">Resolución exenta 1879 de fecha 29/06/2018</t>
  </si>
  <si>
    <t xml:space="preserve">Esc.Esp. de Lenguaje San Carlos</t>
  </si>
  <si>
    <t xml:space="preserve">Claudia Teresa Alfaro Pizarro</t>
  </si>
  <si>
    <t xml:space="preserve">+56 51 224 1652</t>
  </si>
  <si>
    <t xml:space="preserve">escueladelenguajesancarlos@gmail.com</t>
  </si>
  <si>
    <t xml:space="preserve">Los Ruiles 1231, Bosque San Carlos 1231</t>
  </si>
  <si>
    <t xml:space="preserve">Resolución exenta 1825 de fecha 29/06/2018</t>
  </si>
  <si>
    <t xml:space="preserve">www.escueladelenguajesancarlos.cl</t>
  </si>
  <si>
    <t xml:space="preserve">Corporación Educacional San Carlos Del Bosque</t>
  </si>
  <si>
    <t xml:space="preserve">Esc.Esp.De Leng.Horizontes de Palabras</t>
  </si>
  <si>
    <t xml:space="preserve">Grace Fernanda Sarria Pineda</t>
  </si>
  <si>
    <t xml:space="preserve">+56 9 8339 5431</t>
  </si>
  <si>
    <t xml:space="preserve">horizontedepalabras2024@gmail.com</t>
  </si>
  <si>
    <t xml:space="preserve">Valle De Elqui 103, Tongoy</t>
  </si>
  <si>
    <t xml:space="preserve">Resolución exenta 1851 de fecha 29/06/2018</t>
  </si>
  <si>
    <t xml:space="preserve">Corporacion Educacional Horizonte De Palabras</t>
  </si>
  <si>
    <t xml:space="preserve">Esc.Esp.De Transt. de la Com. Cedin - Tierra</t>
  </si>
  <si>
    <t xml:space="preserve">Maggie Angélica Lobos Contreras</t>
  </si>
  <si>
    <t xml:space="preserve">+56 51 256 4663</t>
  </si>
  <si>
    <t xml:space="preserve">colegio.tierrasblancas@cedin.cl</t>
  </si>
  <si>
    <t xml:space="preserve">Tarapaca 1365 Tierras Blancas Coquimbo</t>
  </si>
  <si>
    <t xml:space="preserve">Resolución exenta 1703 de fecha 26/06/2002</t>
  </si>
  <si>
    <t xml:space="preserve">Esc.Esp.De Tras Espec. de Lenguaje Wenui</t>
  </si>
  <si>
    <t xml:space="preserve">Carolina Alejandra Vega Araya</t>
  </si>
  <si>
    <t xml:space="preserve">1886927</t>
  </si>
  <si>
    <t xml:space="preserve">wenui@hotmail.cl</t>
  </si>
  <si>
    <t xml:space="preserve">Pasaje Interior Los Olivos 851</t>
  </si>
  <si>
    <t xml:space="preserve">Resolución exenta 1904 de fecha 29/06/2018</t>
  </si>
  <si>
    <t xml:space="preserve">Corporación Educacional   Wenui</t>
  </si>
  <si>
    <t xml:space="preserve">Número con formato irregular: verificar</t>
  </si>
  <si>
    <t xml:space="preserve">Esc.Esp.De Tras.Espec. del Lenguaje Rincon De</t>
  </si>
  <si>
    <t xml:space="preserve">Pamela Ximena Olivares Cáceres</t>
  </si>
  <si>
    <t xml:space="preserve">+56 2 2983 4556</t>
  </si>
  <si>
    <t xml:space="preserve">moira_olivares@hotmail.com</t>
  </si>
  <si>
    <t xml:space="preserve">Henriquez 1613, Parte Alta</t>
  </si>
  <si>
    <t xml:space="preserve">28 de marzo</t>
  </si>
  <si>
    <t xml:space="preserve">Resolución exenta 1799 de fecha 29/06/2018</t>
  </si>
  <si>
    <t xml:space="preserve">Corporación Educacional Alegría</t>
  </si>
  <si>
    <t xml:space="preserve">Escuela Cultural de Lenguaje y Jardín Infantil Valdani</t>
  </si>
  <si>
    <t xml:space="preserve">Viviana Paulina Iborra Cristofori</t>
  </si>
  <si>
    <t xml:space="preserve">+56 51 234 7293</t>
  </si>
  <si>
    <t xml:space="preserve">valdani2016@outlook.com</t>
  </si>
  <si>
    <t xml:space="preserve">Las Dalias 691</t>
  </si>
  <si>
    <t xml:space="preserve">Junio (calendario escolar)</t>
  </si>
  <si>
    <t xml:space="preserve">2012</t>
  </si>
  <si>
    <t xml:space="preserve">Resolución exenta 815 de fecha 28/04/2017</t>
  </si>
  <si>
    <t xml:space="preserve">Corporación Educacional Valdani</t>
  </si>
  <si>
    <t xml:space="preserve">Escuela Diego Rivera</t>
  </si>
  <si>
    <t xml:space="preserve">Parvularia, Especial</t>
  </si>
  <si>
    <t xml:space="preserve">Ana Karina Parraguez Dubo</t>
  </si>
  <si>
    <t xml:space="preserve">+56 9 5208 4825</t>
  </si>
  <si>
    <t xml:space="preserve">ediegorivera@gmail.com</t>
  </si>
  <si>
    <t xml:space="preserve">Valdivia Tierras Blancas 599</t>
  </si>
  <si>
    <t xml:space="preserve">1 de abril</t>
  </si>
  <si>
    <t xml:space="preserve">Resolución exenta 2388 de fecha 30/06/2010</t>
  </si>
  <si>
    <t xml:space="preserve">Corporación Educacional Diego Rivera</t>
  </si>
  <si>
    <t xml:space="preserve">Escuela Diego de Almeyda</t>
  </si>
  <si>
    <t xml:space="preserve">Pamela Ximena Antinao Plaza</t>
  </si>
  <si>
    <t xml:space="preserve">+56 51 224 0042</t>
  </si>
  <si>
    <t xml:space="preserve">direccion@diegodealmeyda.cl</t>
  </si>
  <si>
    <t xml:space="preserve">Santiago 1244</t>
  </si>
  <si>
    <t xml:space="preserve">1987</t>
  </si>
  <si>
    <t xml:space="preserve">Resolución exenta 1534 de fecha 12/07/2017</t>
  </si>
  <si>
    <t xml:space="preserve">www.diegodealmeyda.cl</t>
  </si>
  <si>
    <t xml:space="preserve">Corporación Educacional Diego De Almeyda</t>
  </si>
  <si>
    <t xml:space="preserve">Escuela Esp. Trans. de la Com. Entremundos</t>
  </si>
  <si>
    <t xml:space="preserve">Ana Del Pilar Vergara Gaete</t>
  </si>
  <si>
    <t xml:space="preserve">+56 51 226 1313</t>
  </si>
  <si>
    <t xml:space="preserve">esc.entremundos@gmail.com</t>
  </si>
  <si>
    <t xml:space="preserve">Las Azucenas 268, Sindempart 268</t>
  </si>
  <si>
    <t xml:space="preserve">Resolución exenta 1623 de fecha 19/06/2018</t>
  </si>
  <si>
    <t xml:space="preserve">www.escuelaentremundos.com</t>
  </si>
  <si>
    <t xml:space="preserve">Fundación Educacional Comenzar</t>
  </si>
  <si>
    <t xml:space="preserve">Escuela Esp. de Lenguaje Cordillera</t>
  </si>
  <si>
    <t xml:space="preserve">María Macarena Gallardo Rivera</t>
  </si>
  <si>
    <t xml:space="preserve">+56 51 232 9000</t>
  </si>
  <si>
    <t xml:space="preserve">escuela_de_lenguaje_cordillera@yahoo.es</t>
  </si>
  <si>
    <t xml:space="preserve">Carrera 47, Parte Alta</t>
  </si>
  <si>
    <t xml:space="preserve">Resolución exenta 1802 de fecha 29/06/2018</t>
  </si>
  <si>
    <t xml:space="preserve">Corporación Educacional Escuela Especial Cordillera Parte Alta</t>
  </si>
  <si>
    <t xml:space="preserve">Escuela Especial Corpadis</t>
  </si>
  <si>
    <t xml:space="preserve">Pamela Del Carmen Aguirre Zapata</t>
  </si>
  <si>
    <t xml:space="preserve">+56 51 232 6623</t>
  </si>
  <si>
    <t xml:space="preserve">sostenedores.corpadis@gmail.com</t>
  </si>
  <si>
    <t xml:space="preserve">Henriquez 901 Parte Alta De Coquimbo 901</t>
  </si>
  <si>
    <t xml:space="preserve">Resolución exenta 1906 de fecha 29/06/2018</t>
  </si>
  <si>
    <t xml:space="preserve">Corporación Educacional  Capacidades Diferentes</t>
  </si>
  <si>
    <t xml:space="preserve">PEI del establecimiento (MINEDUC) (la corporación Unpade nació el 7 de julio de 1986)</t>
  </si>
  <si>
    <t xml:space="preserve">Escuela Especial Nueva Esperanza</t>
  </si>
  <si>
    <t xml:space="preserve">Mariela Andrea Lillo Trujillo</t>
  </si>
  <si>
    <t xml:space="preserve">+56 9 6835 4854</t>
  </si>
  <si>
    <t xml:space="preserve">escuelanuevaesperanza@gmail.com</t>
  </si>
  <si>
    <t xml:space="preserve">Javiera Carrera 5</t>
  </si>
  <si>
    <t xml:space="preserve">Resolución exenta 1845 de fecha 29/06/2018</t>
  </si>
  <si>
    <t xml:space="preserve">Corporación Educacional Padre Alberto Hurtado</t>
  </si>
  <si>
    <t xml:space="preserve">Escuela Especial Pax Terra</t>
  </si>
  <si>
    <t xml:space="preserve">Marcela Cristina Vicencio Landa</t>
  </si>
  <si>
    <t xml:space="preserve">+56 51 254 9413</t>
  </si>
  <si>
    <t xml:space="preserve">escuelapaxterra@gmail.com</t>
  </si>
  <si>
    <t xml:space="preserve">Cabo Exequiel Aroca 430 - Tierras Blancas - Coquimbo 430</t>
  </si>
  <si>
    <t xml:space="preserve">Resolución exenta 1811 de fecha 29/06/2018</t>
  </si>
  <si>
    <t xml:space="preserve">www.paxterra.cl</t>
  </si>
  <si>
    <t xml:space="preserve">Corporación Educacional Pax Terra</t>
  </si>
  <si>
    <t xml:space="preserve">Escuela Especial de Lenguaje  Arcoíris de Palabras</t>
  </si>
  <si>
    <t xml:space="preserve">Marcela Alejandra Guzmán Machuca</t>
  </si>
  <si>
    <t xml:space="preserve">+56 9 5617 4036</t>
  </si>
  <si>
    <t xml:space="preserve">arcoirisdepalabras2018@gmail.com</t>
  </si>
  <si>
    <t xml:space="preserve">Escuela Especial De Lenguaje Arcoíris De Palabras, Ubicado En Pasaje Luis Campos Maluenda N° 377, H. Oriente, Sector Urbano, De La Comuna De Coquimbo 377</t>
  </si>
  <si>
    <t xml:space="preserve">2020</t>
  </si>
  <si>
    <t xml:space="preserve">Resolución exenta 2261 de fecha 18/12/2019</t>
  </si>
  <si>
    <t xml:space="preserve">Anisi Entidad Individual Educacional</t>
  </si>
  <si>
    <t xml:space="preserve">Escuela Especial de Lenguaje Antakari</t>
  </si>
  <si>
    <t xml:space="preserve">Janet Lorena Collao Zepeda</t>
  </si>
  <si>
    <t xml:space="preserve">escuela.antakari@gmail.com</t>
  </si>
  <si>
    <t xml:space="preserve">Calle Bernardo O`higgins, Sector El Peñon</t>
  </si>
  <si>
    <t xml:space="preserve">Resolución exenta 1430 de fecha 30/06/2017</t>
  </si>
  <si>
    <t xml:space="preserve">Corporación Educacional Kreamundos</t>
  </si>
  <si>
    <t xml:space="preserve">Escuela Especial de Lenguaje Entretepalabras</t>
  </si>
  <si>
    <t xml:space="preserve">Carolina Judith Lazo Barahona</t>
  </si>
  <si>
    <t xml:space="preserve">entreteamigos@hotmail.com</t>
  </si>
  <si>
    <t xml:space="preserve">Los Clarines 1763 Herradura Oriente</t>
  </si>
  <si>
    <t xml:space="preserve">Resolución exenta 2113 de fecha 04/10/2017</t>
  </si>
  <si>
    <t xml:space="preserve">www.entretepalabras.cl</t>
  </si>
  <si>
    <t xml:space="preserve">Entretepalabras C.e.</t>
  </si>
  <si>
    <t xml:space="preserve">Escuela Especial de Lenguaje Hamelin</t>
  </si>
  <si>
    <t xml:space="preserve">Juana Adriana Pereira Tapia</t>
  </si>
  <si>
    <t xml:space="preserve">22319018</t>
  </si>
  <si>
    <t xml:space="preserve">carla.silva.pereira1@gmail.com</t>
  </si>
  <si>
    <t xml:space="preserve">Psje.francisco Díaz Ramos 2949</t>
  </si>
  <si>
    <t xml:space="preserve">Resolución exenta 1886 de fecha 29/06/2018</t>
  </si>
  <si>
    <t xml:space="preserve">Escuela Especial De Trastornos Del Lenguaje Hamelin Corporación Educacional</t>
  </si>
  <si>
    <t xml:space="preserve">Escuela Especial de Lenguaje San Francisco de Asis</t>
  </si>
  <si>
    <t xml:space="preserve">Maritza Cecilia Gallardo Carvajal</t>
  </si>
  <si>
    <t xml:space="preserve">+56 51 252 0154</t>
  </si>
  <si>
    <t xml:space="preserve">escufasis2@gmail.com</t>
  </si>
  <si>
    <t xml:space="preserve">Avenida Portugal Loteo Punta Mira Norte 2710</t>
  </si>
  <si>
    <t xml:space="preserve">2015</t>
  </si>
  <si>
    <t xml:space="preserve">Resolución exenta 1850 de fecha 29/06/2018</t>
  </si>
  <si>
    <t xml:space="preserve">Inti E.i.e.</t>
  </si>
  <si>
    <t xml:space="preserve">Escuela Especial de Lenguaje San Sebastian</t>
  </si>
  <si>
    <t xml:space="preserve">Erika Salomé Hernández Delgado</t>
  </si>
  <si>
    <t xml:space="preserve">+56 51 264 1886</t>
  </si>
  <si>
    <t xml:space="preserve">escuelasansebastian.3348@gmail.com</t>
  </si>
  <si>
    <t xml:space="preserve">Ss. Juan Pablo Ii 3348</t>
  </si>
  <si>
    <t xml:space="preserve">10 de marzo</t>
  </si>
  <si>
    <t xml:space="preserve">Resolución exenta 0402 de fecha 20/03/2015</t>
  </si>
  <si>
    <t xml:space="preserve">Corporación Educacional San Sebastian  De Coquimbo</t>
  </si>
  <si>
    <t xml:space="preserve">Escuela Especial de Lenguaje Tierra de Angele</t>
  </si>
  <si>
    <t xml:space="preserve">Karina Andrea Campusano Rojas</t>
  </si>
  <si>
    <t xml:space="preserve">+56 51 231 8739</t>
  </si>
  <si>
    <t xml:space="preserve">directora.tierradeangeles@gmail.com</t>
  </si>
  <si>
    <t xml:space="preserve">Jose Santos Ossa 18</t>
  </si>
  <si>
    <t xml:space="preserve">Resolución exenta 1806 de fecha 29/06/2018</t>
  </si>
  <si>
    <t xml:space="preserve">Tierra De Ángeles Entidad Individual De Educación</t>
  </si>
  <si>
    <t xml:space="preserve">Escuela Especial de Lenguaje el Arbol</t>
  </si>
  <si>
    <t xml:space="preserve">Vesna Elena Giannini Tomic</t>
  </si>
  <si>
    <t xml:space="preserve">+56 51 232 5286</t>
  </si>
  <si>
    <t xml:space="preserve">escuela.arbol@gmail.com</t>
  </si>
  <si>
    <t xml:space="preserve">Río Maule 3860</t>
  </si>
  <si>
    <t xml:space="preserve">Resolución exenta 2473 de fecha 01/12/2016</t>
  </si>
  <si>
    <t xml:space="preserve">www.escuelaarbol.cl</t>
  </si>
  <si>
    <t xml:space="preserve">Giannini Tomic Entidad Individual Educacional</t>
  </si>
  <si>
    <t xml:space="preserve">Escuela Especial de Lenguaje el Universo en la Nuez</t>
  </si>
  <si>
    <t xml:space="preserve">María José Del Rosario Solís León</t>
  </si>
  <si>
    <t xml:space="preserve">+56 9 3694 8584</t>
  </si>
  <si>
    <t xml:space="preserve">escuela.eluniversoenlanuez@gmail.com</t>
  </si>
  <si>
    <t xml:space="preserve">Pedro Miranda N° 3750, Estancia El Sauce, Sector Urbano, De La Comuna De Coquimbo 3750</t>
  </si>
  <si>
    <t xml:space="preserve">26 de febrero</t>
  </si>
  <si>
    <t xml:space="preserve">Resolución exenta 2260 de fecha 18/12/2019</t>
  </si>
  <si>
    <t xml:space="preserve">Corporación Educacional La Tríada</t>
  </si>
  <si>
    <t xml:space="preserve">Escuela Especial del Arte de Hablar</t>
  </si>
  <si>
    <t xml:space="preserve">Yessica Del Pilar Contador Veas</t>
  </si>
  <si>
    <t xml:space="preserve">+56 51 232 2832</t>
  </si>
  <si>
    <t xml:space="preserve">escuelartedehablar@gmail.com</t>
  </si>
  <si>
    <t xml:space="preserve">Avenida Bernando Ossandon 825</t>
  </si>
  <si>
    <t xml:space="preserve">Resolución exenta 0127 de fecha 20/01/2017</t>
  </si>
  <si>
    <t xml:space="preserve">Corporacion Educacional Munay</t>
  </si>
  <si>
    <t xml:space="preserve">Escuela Especial del Lenguaje Alegria del Saber</t>
  </si>
  <si>
    <t xml:space="preserve">Karen Jocelin Díaz Licuime</t>
  </si>
  <si>
    <t xml:space="preserve">+56 9 5041 2277</t>
  </si>
  <si>
    <t xml:space="preserve">Santiago Amengual 22</t>
  </si>
  <si>
    <t xml:space="preserve">Resolución exenta 1848 de fecha 29/06/2018</t>
  </si>
  <si>
    <t xml:space="preserve">Corporacion Educacional Sueños</t>
  </si>
  <si>
    <t xml:space="preserve">Escuela Especial del Lenguaje Bordemar</t>
  </si>
  <si>
    <t xml:space="preserve">Karina Maribel Carvajal Romero</t>
  </si>
  <si>
    <t xml:space="preserve">+56 51 227 7068</t>
  </si>
  <si>
    <t xml:space="preserve">escuelabordemar@gmail.com</t>
  </si>
  <si>
    <t xml:space="preserve">Pasaje Papa Anastasio Ii 3107 - 3111, Sector Loteo La Cantera.</t>
  </si>
  <si>
    <t xml:space="preserve">Resolución exenta 848 de fecha 24/04/2006</t>
  </si>
  <si>
    <t xml:space="preserve">Corporación Educacional   Bordemar</t>
  </si>
  <si>
    <t xml:space="preserve">Escuela Especial el Sendero</t>
  </si>
  <si>
    <t xml:space="preserve">María Loreto Disi Tashiro</t>
  </si>
  <si>
    <t xml:space="preserve">+56 9 3292 9017</t>
  </si>
  <si>
    <t xml:space="preserve">e.sendero@gmail.com</t>
  </si>
  <si>
    <t xml:space="preserve">Tarapaca 1020 1020</t>
  </si>
  <si>
    <t xml:space="preserve">Resolución exenta 1700 de fecha 26/06/2018</t>
  </si>
  <si>
    <t xml:space="preserve">Corporación Educacional El Sendero</t>
  </si>
  <si>
    <t xml:space="preserve">Escuela Especial y de Lenguaje Cumbre de Palabras</t>
  </si>
  <si>
    <t xml:space="preserve">Sandra Andrea Guamán Castillo</t>
  </si>
  <si>
    <t xml:space="preserve">+56 51 263 7288</t>
  </si>
  <si>
    <t xml:space="preserve">escuela2009@gmail.com</t>
  </si>
  <si>
    <t xml:space="preserve">Valparaiso 701 Tierras Blancas Coquimbo</t>
  </si>
  <si>
    <t xml:space="preserve">Resolución exenta 848 de fecha 28/04/2009</t>
  </si>
  <si>
    <t xml:space="preserve">Corporación Educacional  Cumbre De Palabras La Serena</t>
  </si>
  <si>
    <t xml:space="preserve">Escuela Especial y de Lenguaje Padre Alberto Hurtado</t>
  </si>
  <si>
    <t xml:space="preserve">Estefanía Lizett Andaur Zambra</t>
  </si>
  <si>
    <t xml:space="preserve">+56 9 6835 4858</t>
  </si>
  <si>
    <t xml:space="preserve">padrehurtado.coquimbo@gmail.com</t>
  </si>
  <si>
    <t xml:space="preserve">Esmeralda 1105</t>
  </si>
  <si>
    <t xml:space="preserve">Resolución exenta 1844 de fecha 29/06/2018</t>
  </si>
  <si>
    <t xml:space="preserve">Escuela Especial y de Lenguaje el Sauce</t>
  </si>
  <si>
    <t xml:space="preserve">Carol Valentina Vásquez López</t>
  </si>
  <si>
    <t xml:space="preserve">corporacioneducacionalelsauce@gmail.com</t>
  </si>
  <si>
    <t xml:space="preserve">Avenida El Sauce 2575</t>
  </si>
  <si>
    <t xml:space="preserve">17 de abril (reconocimiento oficial)</t>
  </si>
  <si>
    <t xml:space="preserve">Resolución exenta 1774 de fecha 29/06/2018</t>
  </si>
  <si>
    <t xml:space="preserve">www.escueladelenguajeelsauce.cl</t>
  </si>
  <si>
    <t xml:space="preserve">Corporación Educacional El Sauce Coquimbo</t>
  </si>
  <si>
    <t xml:space="preserve">Escuela Latinoamerica Educa</t>
  </si>
  <si>
    <t xml:space="preserve">Ricardo Franco García</t>
  </si>
  <si>
    <t xml:space="preserve">+56 51 254 6514</t>
  </si>
  <si>
    <t xml:space="preserve">latinoamericaeduca@yahoo.com</t>
  </si>
  <si>
    <t xml:space="preserve">Tomas Veliz Castillo 785</t>
  </si>
  <si>
    <t xml:space="preserve">Resolución exenta 910 de fecha 26/03/2004</t>
  </si>
  <si>
    <t xml:space="preserve">sites.google.com/latinoamericaeduca.cl/lae</t>
  </si>
  <si>
    <t xml:space="preserve">Corporación Latinoamérica Educa</t>
  </si>
  <si>
    <t xml:space="preserve">Escuela Para Adultos Amigos del Padre Hurtado</t>
  </si>
  <si>
    <t xml:space="preserve">Treicy Margott Rojas Barrales</t>
  </si>
  <si>
    <t xml:space="preserve">+56 51 264 1611</t>
  </si>
  <si>
    <t xml:space="preserve">jbarralesg@hotmail.com</t>
  </si>
  <si>
    <t xml:space="preserve">Carmen 493 Esquina Recoleta Porvenir 493</t>
  </si>
  <si>
    <t xml:space="preserve">Resolución exenta 1908 de fecha 29/06/2018</t>
  </si>
  <si>
    <t xml:space="preserve">Corporación Educacional  Graciela Judith</t>
  </si>
  <si>
    <t xml:space="preserve">Escuela San Marino College</t>
  </si>
  <si>
    <t xml:space="preserve">Olivia Isabel Ponce López</t>
  </si>
  <si>
    <t xml:space="preserve">+56 51 260 5587</t>
  </si>
  <si>
    <t xml:space="preserve">colegio@sanmarinocollege.cl</t>
  </si>
  <si>
    <t xml:space="preserve">Los Huertos 1731</t>
  </si>
  <si>
    <t xml:space="preserve">3 de marzo</t>
  </si>
  <si>
    <t xml:space="preserve">Resolución exenta 1777 de fecha 29/06/2018</t>
  </si>
  <si>
    <t xml:space="preserve">www.sanmarinocollege.cl</t>
  </si>
  <si>
    <t xml:space="preserve">Corporacion Educacional  San Marino</t>
  </si>
  <si>
    <t xml:space="preserve">Escuela de Lenguaje Kidstropolis</t>
  </si>
  <si>
    <t xml:space="preserve">Macarena Belén Díaz Marín</t>
  </si>
  <si>
    <t xml:space="preserve">+56 51 277 6619</t>
  </si>
  <si>
    <t xml:space="preserve">contacto@kidstropolis.cl</t>
  </si>
  <si>
    <t xml:space="preserve">Calle Alysium N° 1661, Loteo Bellavista, Punta Mira, Sector Urbano, Coquimbo 1661</t>
  </si>
  <si>
    <t xml:space="preserve">Resolución exenta 0122 de fecha 29/01/2021</t>
  </si>
  <si>
    <t xml:space="preserve">www.kidstropolis.cl</t>
  </si>
  <si>
    <t xml:space="preserve">Corporación Educacional Dimar</t>
  </si>
  <si>
    <t xml:space="preserve">Escuela de Lenguaje Mi Mundo de Letras</t>
  </si>
  <si>
    <t xml:space="preserve">Tania Giarella Muñoz Plaza</t>
  </si>
  <si>
    <t xml:space="preserve">+56 51 232 0632</t>
  </si>
  <si>
    <t xml:space="preserve">escuelalenguajemimundodeletras@gmail.com</t>
  </si>
  <si>
    <t xml:space="preserve">Abtao Sector El Llano 259</t>
  </si>
  <si>
    <t xml:space="preserve">Resolución exenta 1043 de fecha 29/05/2013</t>
  </si>
  <si>
    <t xml:space="preserve">Escuela De Lenguaje Mi Mundo De Letras E.i.e.</t>
  </si>
  <si>
    <t xml:space="preserve">Escuela de Lenguaje Pan de Azucar</t>
  </si>
  <si>
    <t xml:space="preserve">Patricia Elizabeth Mondaca Bolbarán</t>
  </si>
  <si>
    <t xml:space="preserve">+56 9 5943 4267</t>
  </si>
  <si>
    <t xml:space="preserve">escuelalpda@gmail.com</t>
  </si>
  <si>
    <t xml:space="preserve">Parcela 15, Lote 5 San Rafael, Pan De Azucar, Coquimbo 15</t>
  </si>
  <si>
    <t xml:space="preserve">Resolución exenta 1852 de fecha 29/06/2018</t>
  </si>
  <si>
    <t xml:space="preserve">Corporación Educacional Valle Luna</t>
  </si>
  <si>
    <t xml:space="preserve">Instituto de Educacion Para el Adulto</t>
  </si>
  <si>
    <t xml:space="preserve">Mercedes Teresa Velásquez Seguel</t>
  </si>
  <si>
    <t xml:space="preserve">+56 9 3424 8692</t>
  </si>
  <si>
    <t xml:space="preserve">directora.mercedes@institutodetierrasblancas.cl</t>
  </si>
  <si>
    <t xml:space="preserve">Pedro Aguirre Cerda Nº 613 Tierras Blancas 613</t>
  </si>
  <si>
    <t xml:space="preserve">Resolución exenta 1697 de fecha 10/05/2018</t>
  </si>
  <si>
    <t xml:space="preserve">Instituto De Educación Para El Adulto E.i.e.</t>
  </si>
  <si>
    <t xml:space="preserve">Jardin Infantil Estrellita de Belen</t>
  </si>
  <si>
    <t xml:space="preserve">Parvularia</t>
  </si>
  <si>
    <t xml:space="preserve">María Elena Díaz Ayala</t>
  </si>
  <si>
    <t xml:space="preserve">+56 51 226 8994</t>
  </si>
  <si>
    <t xml:space="preserve">jardinestrellitadebelen@hotmail.com</t>
  </si>
  <si>
    <t xml:space="preserve">Los Clarines 1110</t>
  </si>
  <si>
    <t xml:space="preserve">Resolución exenta 01055 de fecha 18/05/2009</t>
  </si>
  <si>
    <t xml:space="preserve">www.estrellitadebelen.com</t>
  </si>
  <si>
    <t xml:space="preserve">Corporación Educacional Grandon Pinares</t>
  </si>
  <si>
    <t xml:space="preserve">Jardin Infantil Melodia</t>
  </si>
  <si>
    <t xml:space="preserve">Verónica Soledad Guzmán Camus</t>
  </si>
  <si>
    <t xml:space="preserve">+56 51 224 2260</t>
  </si>
  <si>
    <t xml:space="preserve">jimelodia@hotmail.com</t>
  </si>
  <si>
    <t xml:space="preserve">Santiago 821</t>
  </si>
  <si>
    <t xml:space="preserve">Resolución exenta 1475 de fecha 04/06/2018</t>
  </si>
  <si>
    <t xml:space="preserve">Corporacion Educacional Melodía</t>
  </si>
  <si>
    <t xml:space="preserve">Jardin Infantil Mi Pequeño Genio</t>
  </si>
  <si>
    <t xml:space="preserve">Patricia Andrea Bolado Donoso</t>
  </si>
  <si>
    <t xml:space="preserve">+56 51 223 2736</t>
  </si>
  <si>
    <t xml:space="preserve">jardinmpg@gmail.com</t>
  </si>
  <si>
    <t xml:space="preserve">Psje Conguillio 1735-1736 Bosques San Carlos</t>
  </si>
  <si>
    <t xml:space="preserve">5 de octubre</t>
  </si>
  <si>
    <t xml:space="preserve">Resolución exenta 1867 de fecha 29/06/2018</t>
  </si>
  <si>
    <t xml:space="preserve">Corporación Educacional  Jardin Infantil Mi Pequeño Genio</t>
  </si>
  <si>
    <t xml:space="preserve">Jardin Infantil Mis Pequeños Angelitos</t>
  </si>
  <si>
    <t xml:space="preserve">Yuliana Angélica Olivares Espinoza</t>
  </si>
  <si>
    <t xml:space="preserve">+56 9 8485 3001</t>
  </si>
  <si>
    <t xml:space="preserve">yulyo_olivares@hotmail.com</t>
  </si>
  <si>
    <t xml:space="preserve">J.j Oliver Nº 450 San Juan Coquimbo</t>
  </si>
  <si>
    <t xml:space="preserve">3 de marzo (creación); se celebra a fines de abril</t>
  </si>
  <si>
    <t xml:space="preserve">Resolución exenta 01945 de fecha 30/06/2008</t>
  </si>
  <si>
    <t xml:space="preserve">Mis Pequeños Angelitos Eie</t>
  </si>
  <si>
    <t xml:space="preserve">Jardin Infantil Mundo Feliz</t>
  </si>
  <si>
    <t xml:space="preserve">Josafath Canaan Mancilla Troncoso</t>
  </si>
  <si>
    <t xml:space="preserve">j.imundofeliz771@gmail.com</t>
  </si>
  <si>
    <t xml:space="preserve">Avenida Arauco 771</t>
  </si>
  <si>
    <t xml:space="preserve">Resolución exenta 520 de fecha 26/06/1996</t>
  </si>
  <si>
    <t xml:space="preserve">Corporación Educacional Valdes Y Araya</t>
  </si>
  <si>
    <t xml:space="preserve">Jardin Infantil el Bosque</t>
  </si>
  <si>
    <t xml:space="preserve">Marcela Alejandra Del Pilar Zepeda Andueza</t>
  </si>
  <si>
    <t xml:space="preserve">+56 51 260 5366</t>
  </si>
  <si>
    <t xml:space="preserve">jelbosque@gmail.com</t>
  </si>
  <si>
    <t xml:space="preserve">Avda. Rene Schneider , El Bosque San 1476</t>
  </si>
  <si>
    <t xml:space="preserve">Resolución exenta 1433 de fecha 30/05/2018</t>
  </si>
  <si>
    <t xml:space="preserve">Entidad Individual Educacional  El Bosque</t>
  </si>
  <si>
    <t xml:space="preserve">Jardin Infantil los Roblecitos</t>
  </si>
  <si>
    <t xml:space="preserve">Isabel Elena Carvajal Milla</t>
  </si>
  <si>
    <t xml:space="preserve">+56 51 223 1630</t>
  </si>
  <si>
    <t xml:space="preserve">jardinlosroblecitos@gmail.com</t>
  </si>
  <si>
    <t xml:space="preserve">Tolhuaca N 1556- 1562</t>
  </si>
  <si>
    <t xml:space="preserve">Resolución exenta 722 de fecha 17/03/2005</t>
  </si>
  <si>
    <t xml:space="preserve">Educación Infantil Isabel Carvajal Eie</t>
  </si>
  <si>
    <t xml:space="preserve">Kid´S World School</t>
  </si>
  <si>
    <t xml:space="preserve">Ricardo Alfonso Guerra Varela</t>
  </si>
  <si>
    <t xml:space="preserve">+56 51 260 5628</t>
  </si>
  <si>
    <t xml:space="preserve">roxana.castillo@kidsworldschool.cl</t>
  </si>
  <si>
    <t xml:space="preserve">Ignacio Carrera Pinto El Llano 955</t>
  </si>
  <si>
    <t xml:space="preserve">1991 (como jardín)</t>
  </si>
  <si>
    <t xml:space="preserve">Resolución exenta 1797 de fecha 29/06/2018</t>
  </si>
  <si>
    <t xml:space="preserve">www.kidsworldschool.cl</t>
  </si>
  <si>
    <t xml:space="preserve">Corporacion Educacional Kid´s World</t>
  </si>
  <si>
    <t xml:space="preserve">Liceo Bicentenario de Excelencia Colegio Particular Miguel de Cervantes</t>
  </si>
  <si>
    <t xml:space="preserve">Maritza Ester Pujado Barría</t>
  </si>
  <si>
    <t xml:space="preserve">+56 51 223 2743</t>
  </si>
  <si>
    <t xml:space="preserve">cervant@gmail.com</t>
  </si>
  <si>
    <t xml:space="preserve">Camino Callejón Las Parcelas 405</t>
  </si>
  <si>
    <t xml:space="preserve">22 de mayo (reconocimiento oficial)</t>
  </si>
  <si>
    <t xml:space="preserve">1985</t>
  </si>
  <si>
    <t xml:space="preserve">Resolución exenta 2552 de fecha 13/12/2017</t>
  </si>
  <si>
    <t xml:space="preserve">www.colmigueldecervantes.cl</t>
  </si>
  <si>
    <t xml:space="preserve">Corporación Colegio Miguel De Cervantes De Coquimbo</t>
  </si>
  <si>
    <t xml:space="preserve">Sala Cuna y Jardin Infantil Rayün</t>
  </si>
  <si>
    <t xml:space="preserve">Sandra Graciela Caro Flores</t>
  </si>
  <si>
    <t xml:space="preserve">+56 9 8793 3185</t>
  </si>
  <si>
    <t xml:space="preserve">scaro.rayun@gmail.com</t>
  </si>
  <si>
    <t xml:space="preserve">Ñuble Nº 565, Lote Nº 10, Manzana 78, Tierras Blanca, Urbano, Coquimbo 565</t>
  </si>
  <si>
    <t xml:space="preserve">2016</t>
  </si>
  <si>
    <t xml:space="preserve">Resolución exenta 131 de fecha 07/02/2019</t>
  </si>
  <si>
    <t xml:space="preserve">Corporación Educacional Rayün De Coquimbo</t>
  </si>
  <si>
    <t xml:space="preserve">Amazing Grace English School - Peñuelas</t>
  </si>
  <si>
    <t xml:space="preserve">Particular pagado</t>
  </si>
  <si>
    <t xml:space="preserve">Patricia Angélica Gallardo Olivares</t>
  </si>
  <si>
    <t xml:space="preserve">+56 51 240 0600</t>
  </si>
  <si>
    <t xml:space="preserve">rectoria@amazinggraceco.cl</t>
  </si>
  <si>
    <t xml:space="preserve">Avenida El Rosario, Rosario De Peñuelas 3870</t>
  </si>
  <si>
    <t xml:space="preserve">Resolución exenta 2273 de fecha 25/10/2016</t>
  </si>
  <si>
    <t xml:space="preserve">www.amazinggraceco.cl</t>
  </si>
  <si>
    <t xml:space="preserve">Sociedad Educacional Shalom  Spa</t>
  </si>
  <si>
    <t xml:space="preserve">Colegio Conquistadores Coquimbo</t>
  </si>
  <si>
    <t xml:space="preserve">Sergio Antonio Caro Aguilera</t>
  </si>
  <si>
    <t xml:space="preserve">+56 51 223 4652</t>
  </si>
  <si>
    <t xml:space="preserve">colegioconquistadorescoquimbo@gmail.com</t>
  </si>
  <si>
    <t xml:space="preserve">Las Azucenas Nº 690, Sindempart, Sector Urbano, De La Comuna De Coquimbo 690</t>
  </si>
  <si>
    <t xml:space="preserve">Resolución exenta 2856 de fecha 14/11/2018</t>
  </si>
  <si>
    <t xml:space="preserve">www.colegioconquistadores.cl</t>
  </si>
  <si>
    <t xml:space="preserve">Arturo Javier Galleguillos Trigo Argat E.i.r.</t>
  </si>
  <si>
    <t xml:space="preserve">Colegio Saint Mary School</t>
  </si>
  <si>
    <t xml:space="preserve">Carola Soledad Iribarren Véliz</t>
  </si>
  <si>
    <t xml:space="preserve">+56 51 226 1714</t>
  </si>
  <si>
    <t xml:space="preserve">saintmaryschool@smary.cl</t>
  </si>
  <si>
    <t xml:space="preserve">Av. El Sauce 1049 Sindempart Coquimbo</t>
  </si>
  <si>
    <t xml:space="preserve">1991</t>
  </si>
  <si>
    <t xml:space="preserve">Resolución exenta 1147 de fecha 16/04/1992</t>
  </si>
  <si>
    <t xml:space="preserve">Saint Mary School S.a.</t>
  </si>
  <si>
    <t xml:space="preserve">Colegio de Adultos Su Santidad Juan Pablo II</t>
  </si>
  <si>
    <t xml:space="preserve">Jorge Lorenzo Ramírez Flores</t>
  </si>
  <si>
    <t xml:space="preserve">26209659</t>
  </si>
  <si>
    <t xml:space="preserve">colegiossjuanpablosegundo@gmail.com</t>
  </si>
  <si>
    <t xml:space="preserve">Los Perales Esquina Alejandro Daud Noemi 2948</t>
  </si>
  <si>
    <t xml:space="preserve">Octubre (fundación)</t>
  </si>
  <si>
    <t xml:space="preserve">Resolución exenta 0005 de fecha 06/01/2015</t>
  </si>
  <si>
    <t xml:space="preserve">www.cassjps.cl</t>
  </si>
  <si>
    <t xml:space="preserve">Jorge Lorenzo Ramirez Flores Educacion De Adultos Eirl</t>
  </si>
  <si>
    <t xml:space="preserve">Número con formato irregular: verificar; Mismo colegio con dos RBD (sedes)</t>
  </si>
  <si>
    <t xml:space="preserve">+56 9 4282 7833</t>
  </si>
  <si>
    <t xml:space="preserve">info@cassjps.cl</t>
  </si>
  <si>
    <t xml:space="preserve">Calle Arauco Nº 530, Localidad O Loteo Tierras Blancas, Sector Urbano, Comuna De Coquimbo 530</t>
  </si>
  <si>
    <t xml:space="preserve">Resolución exenta 1500 de fecha 27/06/2022</t>
  </si>
  <si>
    <t xml:space="preserve">Celular antiguo de 8 dígitos, se antepuso 9: verificar; Sin matrícula informada en 2025; Mismo colegio con dos RBD (sedes)</t>
  </si>
  <si>
    <t xml:space="preserve">Colegio del Alba</t>
  </si>
  <si>
    <t xml:space="preserve">Rossana Danaes Cardenas Casanga</t>
  </si>
  <si>
    <t xml:space="preserve">+56 51 260 5210</t>
  </si>
  <si>
    <t xml:space="preserve">administrador@colegiodelalbacoquimbo.cl</t>
  </si>
  <si>
    <t xml:space="preserve">Micaela Godoy 275</t>
  </si>
  <si>
    <t xml:space="preserve">4 de abril</t>
  </si>
  <si>
    <t xml:space="preserve">Resolución exenta 613 de fecha 26/03/2018</t>
  </si>
  <si>
    <t xml:space="preserve">www.colegiodelalbacoquimbo.cl</t>
  </si>
  <si>
    <t xml:space="preserve">Sociedad Educacional Del Alba S.a.</t>
  </si>
  <si>
    <t xml:space="preserve">Colegio los Carrera Spa</t>
  </si>
  <si>
    <t xml:space="preserve">Carmelina Doris Reyes Durán</t>
  </si>
  <si>
    <t xml:space="preserve">+56 51 231 6656</t>
  </si>
  <si>
    <t xml:space="preserve">clc.coquimbo@gmail.com</t>
  </si>
  <si>
    <t xml:space="preserve">Abtao 190</t>
  </si>
  <si>
    <t xml:space="preserve">Resolución exenta 505 de fecha 14/06/1985</t>
  </si>
  <si>
    <t xml:space="preserve">www.colegioparticularloscarrera.cl</t>
  </si>
  <si>
    <t xml:space="preserve">Manuel A. Santander Escobar Serv.ed. E.i.r.l.</t>
  </si>
  <si>
    <t xml:space="preserve">International Garden Pre-School</t>
  </si>
  <si>
    <t xml:space="preserve">+56 9 9158 8419</t>
  </si>
  <si>
    <t xml:space="preserve">direccionigps@internationalgarden.cl</t>
  </si>
  <si>
    <t xml:space="preserve">Avenida Amanecer 1621</t>
  </si>
  <si>
    <t xml:space="preserve">Resolución exenta 1498 de fecha 18/11/2020</t>
  </si>
  <si>
    <t xml:space="preserve">Sociedad Educacional Vive Sa</t>
  </si>
  <si>
    <t xml:space="preserve">Sin matrícula informada en 2025; Sin director informado en MIME</t>
  </si>
  <si>
    <t xml:space="preserve">Jardin Infantil Arcoiris</t>
  </si>
  <si>
    <t xml:space="preserve">Elizabeth Macarena Jorquera González</t>
  </si>
  <si>
    <t xml:space="preserve">+56 51 231 2226</t>
  </si>
  <si>
    <t xml:space="preserve">jardinysalacunaarcoiris@gmail.com</t>
  </si>
  <si>
    <t xml:space="preserve">Pedro Lagos 801. El Llano</t>
  </si>
  <si>
    <t xml:space="preserve">Resolución exenta 622 de fecha 26/03/2018</t>
  </si>
  <si>
    <t xml:space="preserve">www.arcoiriscoquimbo.cl</t>
  </si>
  <si>
    <t xml:space="preserve">Arcoiris Servicios Educacionales Eirl</t>
  </si>
  <si>
    <t xml:space="preserve">Número antiguo de 6 dígitos, se antepuso 2: verificar; Sin matrícula informada en 2025</t>
  </si>
  <si>
    <t xml:space="preserve">Jardin Infantil Carrusel</t>
  </si>
  <si>
    <t xml:space="preserve">+56 51 249 9378</t>
  </si>
  <si>
    <t xml:space="preserve">cjmr12@hotmail.com</t>
  </si>
  <si>
    <t xml:space="preserve">Avda Ossandon 150 El Llano</t>
  </si>
  <si>
    <t xml:space="preserve">Resolución exenta 106 de fecha 10/01/2012</t>
  </si>
  <si>
    <t xml:space="preserve">Carmen Julia Muñoz Ramos Eirl</t>
  </si>
  <si>
    <t xml:space="preserve">Número antiguo de 6 dígitos, se antepuso 2: verificar; Sin matrícula informada en 2025; Sin director informado en MIME</t>
  </si>
  <si>
    <t xml:space="preserve">Jardin Infantil Cascanueces</t>
  </si>
  <si>
    <t xml:space="preserve">Sofía Isabel Urquieta Villar</t>
  </si>
  <si>
    <t xml:space="preserve">+56 51 226 7659</t>
  </si>
  <si>
    <t xml:space="preserve">jardincascanueces@tie.cl</t>
  </si>
  <si>
    <t xml:space="preserve">Los Clarines 1043</t>
  </si>
  <si>
    <t xml:space="preserve">Resolución exenta 13544 de fecha 26/03/2018</t>
  </si>
  <si>
    <t xml:space="preserve">Sala Cuna Y Jardin Infantil Alejandra Diaz Bo</t>
  </si>
  <si>
    <t xml:space="preserve">Jardin Infantil Cinderella</t>
  </si>
  <si>
    <t xml:space="preserve">María Olivia Carrillo Moreno</t>
  </si>
  <si>
    <t xml:space="preserve">+56 9 9451 4094</t>
  </si>
  <si>
    <t xml:space="preserve">jardincinderella@gmail.com</t>
  </si>
  <si>
    <t xml:space="preserve">Costanera 590</t>
  </si>
  <si>
    <t xml:space="preserve">Resolución exenta 967 de fecha 28/06/1996</t>
  </si>
  <si>
    <t xml:space="preserve">Maria Olivia Carrillo Moreno</t>
  </si>
  <si>
    <t xml:space="preserve">Jardin Infantil Conquistadores</t>
  </si>
  <si>
    <t xml:space="preserve">Nicole Alejandra Ramírez Pérez</t>
  </si>
  <si>
    <t xml:space="preserve">+56 51 226 2878</t>
  </si>
  <si>
    <t xml:space="preserve">argat_@hotmail.com</t>
  </si>
  <si>
    <t xml:space="preserve">Las Azucenas Villa Rio A Sindempart 661</t>
  </si>
  <si>
    <t xml:space="preserve">Resolución exenta 2462 de fecha 29/11/2016</t>
  </si>
  <si>
    <t xml:space="preserve">Jardin Infantil Kid Arts</t>
  </si>
  <si>
    <t xml:space="preserve">jardinkidarts@gmail.com</t>
  </si>
  <si>
    <t xml:space="preserve">Los Geranios 292 292</t>
  </si>
  <si>
    <t xml:space="preserve">Resolución exenta 170 de fecha 30/01/2020</t>
  </si>
  <si>
    <t xml:space="preserve">Servicios Educacionales Rojas Lemus Limitada</t>
  </si>
  <si>
    <t xml:space="preserve">Jardin Infantil Pucara</t>
  </si>
  <si>
    <t xml:space="preserve">Fabiola Antonella Lettura Meza</t>
  </si>
  <si>
    <t xml:space="preserve">+56 51 224 5260</t>
  </si>
  <si>
    <t xml:space="preserve">jardinpucara@hotmail.com</t>
  </si>
  <si>
    <t xml:space="preserve">Avenida Miramar, Sector Los Jardines De Penuelas. 4981</t>
  </si>
  <si>
    <t xml:space="preserve">Resolución exenta 305 de fecha 07/03/2003</t>
  </si>
  <si>
    <t xml:space="preserve">jardinpucara.cl</t>
  </si>
  <si>
    <t xml:space="preserve">Sociedad Educacional Pucara Limitada</t>
  </si>
  <si>
    <t xml:space="preserve">Sin matrícula informada en 2025</t>
  </si>
  <si>
    <t xml:space="preserve">Jardin Infantil Santa Anna</t>
  </si>
  <si>
    <t xml:space="preserve">Ximena Cecilia Campos Parra</t>
  </si>
  <si>
    <t xml:space="preserve">+56 51 226 7146</t>
  </si>
  <si>
    <t xml:space="preserve">educacion.santaanna@gmail.com</t>
  </si>
  <si>
    <t xml:space="preserve">Av El Sauce 909, Sindempart</t>
  </si>
  <si>
    <t xml:space="preserve">Resolución exenta 621 de fecha 26/03/2018</t>
  </si>
  <si>
    <t xml:space="preserve">www.santaanna.cl</t>
  </si>
  <si>
    <t xml:space="preserve">Educacion Infantil Santa Anna S.a.c.</t>
  </si>
  <si>
    <t xml:space="preserve">Jardin Infantil del Hospital de Coquimbo</t>
  </si>
  <si>
    <t xml:space="preserve">Elizabeth Angélica Guzmán Olguín</t>
  </si>
  <si>
    <t xml:space="preserve">+56 51 233 6244</t>
  </si>
  <si>
    <t xml:space="preserve">elizabeth.guzman@redsalud.gov.cl</t>
  </si>
  <si>
    <t xml:space="preserve">Av. Videla Coquimbo</t>
  </si>
  <si>
    <t xml:space="preserve">Resolución exenta 1930 de fecha 21/12/1982</t>
  </si>
  <si>
    <t xml:space="preserve">Servicio De Salud Coquimbo Iv Region</t>
  </si>
  <si>
    <t xml:space="preserve">Sala Cuna Entretenidamente Kids</t>
  </si>
  <si>
    <t xml:space="preserve">+56 9 9015 8908</t>
  </si>
  <si>
    <t xml:space="preserve">entretenidamentekids@gmail.com</t>
  </si>
  <si>
    <t xml:space="preserve">Lincoyan 218</t>
  </si>
  <si>
    <t xml:space="preserve">Resolución exenta 418 de fecha 31/03/2023</t>
  </si>
  <si>
    <t xml:space="preserve">Entretenidamente Kids Limitada</t>
  </si>
  <si>
    <t xml:space="preserve">Sala Cuna y Jardin Infantil Aliwen</t>
  </si>
  <si>
    <t xml:space="preserve">+56 9 9650 3787</t>
  </si>
  <si>
    <t xml:space="preserve">p.vallejosrojas@gmail.com</t>
  </si>
  <si>
    <t xml:space="preserve">Curico 501</t>
  </si>
  <si>
    <t xml:space="preserve">Resolución exenta 925 de fecha 27/04/2022</t>
  </si>
  <si>
    <t xml:space="preserve">Sociedad Educacional Aliwen Ltda</t>
  </si>
  <si>
    <t xml:space="preserve">Sala Cuna y Jardin Infantil Pelusitas Play And Learn House</t>
  </si>
  <si>
    <t xml:space="preserve">+56 51 240 6433</t>
  </si>
  <si>
    <t xml:space="preserve">pelusitasplay@gmail.com</t>
  </si>
  <si>
    <t xml:space="preserve">Calle Almirante Allard N° 425, Lote N° 19, Sector Urbano, De La Comuna De La Serena 425</t>
  </si>
  <si>
    <t xml:space="preserve">Resolución exenta 892 de fecha 11/05/2020</t>
  </si>
  <si>
    <t xml:space="preserve">Educacional Paz Limitada</t>
  </si>
  <si>
    <t xml:space="preserve">Sin matrícula informada en 2025; MIME indica dirección en comuna de La Serena: verificar; Sin director informado en MIME</t>
  </si>
  <si>
    <t xml:space="preserve">Ceduc UCN, Sede Coquimbo (Casa Central)</t>
  </si>
  <si>
    <t xml:space="preserve">Educación superior TP (CFT)</t>
  </si>
  <si>
    <t xml:space="preserve">Técnico de nivel superior</t>
  </si>
  <si>
    <t xml:space="preserve">Benjamín Ramos Montoya (director de sede)</t>
  </si>
  <si>
    <t xml:space="preserve">+56 51 254 7000</t>
  </si>
  <si>
    <t xml:space="preserve">informaciones@ceduc.cl</t>
  </si>
  <si>
    <t xml:space="preserve">Miraflores N°475</t>
  </si>
  <si>
    <t xml:space="preserve">CFT autónomo. Acreditación CNA por 5 años, nivel Avanzado (nov. 2021 a nov. 2026). Adscrito a Gratuidad</t>
  </si>
  <si>
    <t xml:space="preserve">www.ceduc.cl</t>
  </si>
  <si>
    <t xml:space="preserve">Universidad Católica del Norte (CFT Ceduc UCN)</t>
  </si>
  <si>
    <t xml:space="preserve">ceduc.cl, página Sede Coquimbo; Coquimbo Noticias 12.03.2026 y 21.08.2026; consulta 23.10.2026</t>
  </si>
  <si>
    <t xml:space="preserve">Institución de educación superior: no tiene RBD. La casa central funciona en el Campus Miraflores, que la UCN cedió al CFT cuando partieron las clases en 1999. En marzo de 2026 iniciaron el año más de 2.200 estudiantes en 14 carreras técnicas, diurnas y vespertinas (Coquimbo Noticias). Para la admisión 2026 se abrió Gastronomía Territorial e Intercultural. La acreditación vence en noviembre de 2026 y el proceso está en curso: confirmar resultado en CNA. Otros fonos: (51) 254 7016 y 254 7003</t>
  </si>
  <si>
    <t xml:space="preserve">Universidad Católica del Norte, Sede Coquimbo (Campus Guayacán)</t>
  </si>
  <si>
    <t xml:space="preserve">Educación superior universitaria (CRUCH)</t>
  </si>
  <si>
    <t xml:space="preserve">Pregrado profesional y postgrado</t>
  </si>
  <si>
    <t xml:space="preserve">Óscar Marcelo Sepúlveda (vicerrector de sede)</t>
  </si>
  <si>
    <t xml:space="preserve">+56 51 220 9891</t>
  </si>
  <si>
    <t xml:space="preserve">Av. Larrondo N°1281, Guayacán</t>
  </si>
  <si>
    <t xml:space="preserve">31 de mayo</t>
  </si>
  <si>
    <t xml:space="preserve">Universidad autónoma desde 1964, integrante del CRUCH</t>
  </si>
  <si>
    <t xml:space="preserve">www.ucn.cl</t>
  </si>
  <si>
    <t xml:space="preserve">Universidad Católica del Norte</t>
  </si>
  <si>
    <t xml:space="preserve">El Coquimbano, 14.03.2025 y 24.03.2026; ucn.cl; consulta 23.10.2026</t>
  </si>
  <si>
    <t xml:space="preserve">Aniversario institucional de la UCN (fundada el 31.05.1956)</t>
  </si>
  <si>
    <t xml:space="preserve">Es universidad, no institución técnico-profesional: se suma porque es la otra casa de estudios superiores con sede en la comuna y entrega títulos profesionales. El Campus Guayacán concentra Ciencias del Mar, Derecho y Medicina. El vicerrector asumió en marzo de 2025 (la página antigua de la UCN aún muestra a Elvira Badilla). Fono tomado de directorio: verificar. Acreditación vigente: confirmar en CNA</t>
  </si>
  <si>
    <t xml:space="preserve">Resumen de la base</t>
  </si>
  <si>
    <t xml:space="preserve">Establecimientos</t>
  </si>
  <si>
    <t xml:space="preserve">Con director informado</t>
  </si>
  <si>
    <t xml:space="preserve">Con aniversario (fecha o mes)</t>
  </si>
  <si>
    <t xml:space="preserve">Presidente/a CEAL informado</t>
  </si>
  <si>
    <t xml:space="preserve">CEAL por completar</t>
  </si>
  <si>
    <t xml:space="preserve">Total</t>
  </si>
  <si>
    <t xml:space="preserve">La matrícula excluye los jardines VTF, que no tienen RBD en el Directorio MINEDUC.</t>
  </si>
  <si>
    <t xml:space="preserve">Las instituciones de educación superior no informan matrícula por RBD; su matrícula queda en Observaciones de la hoja Base.</t>
  </si>
  <si>
    <t xml:space="preserve">Fuentes</t>
  </si>
  <si>
    <t xml:space="preserve">Universo</t>
  </si>
  <si>
    <t xml:space="preserve">MINEDUC, Directorio Oficial de Establecimientos 2025 (datosabiertos.mineduc.cl), filtrado por comuna 4102 y estado "funcionando". Incluye 12 RBD sin matrícula 2025 (jardines particulares recién reconocidos, una sede de adultos y Escuela de Camarones).</t>
  </si>
  <si>
    <t xml:space="preserve">Contacto, establecimientos públicos</t>
  </si>
  <si>
    <t xml:space="preserve">SLEP Puerto Cordillera, página "Establecimientos Educacionales" (slepuertocordillera.gob.cl, última edición 07.05.2026). Correos decodificados de la página.</t>
  </si>
  <si>
    <t xml:space="preserve">Contacto, establecimientos particulares</t>
  </si>
  <si>
    <t xml:space="preserve">MINEDUC, Ficha del Establecimiento (mi.mineduc.cl), consultada el 05.10.2026. La información la carga cada director y puede estar desactualizada.</t>
  </si>
  <si>
    <t xml:space="preserve">Cambios de director</t>
  </si>
  <si>
    <t xml:space="preserve">SLEP Puerto Cordillera, noticia 04.05.2026: seis directores asumen por Alta Dirección Pública (cuatro en Coquimbo: IAC Estado de Israel, Liceo Diego Portales, Escuela República de Italia y Colegio Santa Cecilia). Se corrigieron en la base.</t>
  </si>
  <si>
    <t xml:space="preserve">Aniversarios</t>
  </si>
  <si>
    <t xml:space="preserve">Reseñas históricas de los Proyectos Educativos Institucionales (PEI) publicados en MINEDUC y noticias de aniversario del SLEP Puerto Cordillera. Donde no hay fecha de aniversario se indica "Sin información"; la columna de reconocimiento oficial es un dato distinto y no reemplaza al aniversario.</t>
  </si>
  <si>
    <t xml:space="preserve">Notas</t>
  </si>
  <si>
    <t xml:space="preserve">Teléfonos</t>
  </si>
  <si>
    <t xml:space="preserve">Se normalizaron a formato +56. Los números antiguos de 6 dígitos y los celulares de 8 dígitos se convirtieron según las reglas de numeración de 2013 y quedan marcados para verificar en Observaciones.</t>
  </si>
  <si>
    <t xml:space="preserve">Directores con dato distinto</t>
  </si>
  <si>
    <t xml:space="preserve">En 6 establecimientos públicos la tabla del SLEP y MIME muestran directores distintos (Cardenal Caro, Pablo Neruda, La Herradura, Mario Muñoz, República de Grecia y Claudio Arrau). Se dejó el dato más reciente que se pudo respaldar y se marcó para confirmar.</t>
  </si>
  <si>
    <t xml:space="preserve">Presidentes de CEAL</t>
  </si>
  <si>
    <t xml:space="preserve">Establecimientos públicos: se integró la nómina 2026 de presidentas y presidentes de centros de estudiantes y gobiernos estudiantiles del SLEP Puerto Cordillera (38 casos, cruzados por establecimiento con su RBD). Coincide con todos los establecimientos públicos de Coquimbo con matrícula; la Escuela de Camarones no figura porque no tuvo matrícula en 2025. Incluye dos escuelas especiales (Jean Piaget y Juan Sandoval) que antes figuraban como "No aplica". Particulares: no hay registro público y quedan 55 en amarillo ("Por completar"). Cuando el correo de la nómina es el institucional del establecimiento, se indica entre paréntesis.</t>
  </si>
  <si>
    <t xml:space="preserve">Resguardo de datos</t>
  </si>
  <si>
    <t xml:space="preserve">La nómina contiene nombres y correos personales de estudiantes, en su mayoría menores de edad. Usar solo para vinculación institucional, no difundir y no publicar la planilla (Ley 19.628 y Ley 21.719 sobre protección de datos personales). Para contactos formales, preferir el correo institucional del establecimiento con copia a la dirección.</t>
  </si>
  <si>
    <t xml:space="preserve">Fuera del universo</t>
  </si>
  <si>
    <t xml:space="preserve">No se incluyen los jardines JUNJI de administración directa ni los de Fundación Integra, que no tienen RBD MINEDUC. Tampoco los establecimientos del SLEP ubicados en Andacollo.</t>
  </si>
  <si>
    <t xml:space="preserve">Educación superior (23.10.2026)</t>
  </si>
  <si>
    <t xml:space="preserve">Se revisaron las sedes de centros de formación técnica (CFT), institutos profesionales (IP) y universidades de la conurbación. Dentro de la comuna de Coquimbo solo operan Ceduc UCN (CFT, casa central en Miraflores 475) y la Universidad Católica del Norte (Campus Guayacán). No hay ningún IP con sede en la comuna. Fuentes: ceduc.cl; Coquimbo Noticias (12.03.2026 y 21.08.2026); El Coquimbano (14.03.2025 y 24.03.2026); Noticias UCN, acreditación Ceduc 2021. El listado de sedes de SIES/MINEDUC no estuvo disponible en línea al momento de la consulta: conviene cruzarlo cuando se publique la matrícula 2026.</t>
  </si>
  <si>
    <t xml:space="preserve">Educación superior fuera de la comuna</t>
  </si>
  <si>
    <t xml:space="preserve">Funcionan en La Serena y por eso no se incluyen: INACAP, IP y CFT Santo Tomás (Ruta 5 Norte 1068 y Libertad 579), IP AIEP (Huanhuali 105), IP Valle Central (Lautaro 950), CFT Juan Bohon (Balmaceda 2299) y la Universidad de La Serena. El CFT Estatal Región de Coquimbo tiene su casa central en Ovalle; con el municipio conversa la instalación de una sede en Coquimbo, todavía en etapa inicial.</t>
  </si>
</sst>
</file>

<file path=xl/styles.xml><?xml version="1.0" encoding="utf-8"?>
<styleSheet xmlns="http://schemas.openxmlformats.org/spreadsheetml/2006/main">
  <numFmts count="2">
    <numFmt numFmtId="164" formatCode="General"/>
    <numFmt numFmtId="165" formatCode="#,##0"/>
  </numFmts>
  <fonts count="16">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595959"/>
      <name val="Arial"/>
      <family val="0"/>
      <charset val="1"/>
    </font>
    <font>
      <b val="true"/>
      <sz val="10"/>
      <color rgb="FFFFFFFF"/>
      <name val="Arial"/>
      <family val="0"/>
      <charset val="1"/>
    </font>
    <font>
      <sz val="9"/>
      <name val="Arial"/>
      <family val="0"/>
      <charset val="1"/>
    </font>
    <font>
      <i val="true"/>
      <sz val="9"/>
      <color rgb="FFA6A6A6"/>
      <name val="Arial"/>
      <family val="0"/>
      <charset val="1"/>
    </font>
    <font>
      <sz val="9"/>
      <color rgb="FF7F6000"/>
      <name val="Arial"/>
      <family val="0"/>
      <charset val="1"/>
    </font>
    <font>
      <sz val="10"/>
      <name val="Arial"/>
      <family val="2"/>
    </font>
    <font>
      <b val="true"/>
      <sz val="13"/>
      <color rgb="FF1F4E79"/>
      <name val="Arial"/>
      <family val="0"/>
      <charset val="1"/>
    </font>
    <font>
      <sz val="10"/>
      <name val="Arial"/>
      <family val="0"/>
      <charset val="1"/>
    </font>
    <font>
      <b val="true"/>
      <sz val="11"/>
      <name val="Arial"/>
      <family val="0"/>
      <charset val="1"/>
    </font>
    <font>
      <b val="true"/>
      <sz val="12"/>
      <color rgb="FF1F4E79"/>
      <name val="Arial"/>
      <family val="0"/>
      <charset val="1"/>
    </font>
    <font>
      <b val="true"/>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E86" activePane="bottomRight" state="frozen"/>
      <selection pane="topLeft" activeCell="A1" activeCellId="0" sqref="A1"/>
      <selection pane="topRight" activeCell="E1" activeCellId="0" sqref="E1"/>
      <selection pane="bottomLeft" activeCell="A86" activeCellId="0" sqref="A86"/>
      <selection pane="bottomRight" activeCell="A1" activeCellId="0" sqref="A1"/>
    </sheetView>
  </sheetViews>
  <sheetFormatPr defaultColWidth="9.14843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38"/>
    <col collapsed="false" customWidth="true" hidden="false" outlineLevel="0" max="4" min="4" style="0" width="31.71"/>
    <col collapsed="false" customWidth="true" hidden="false" outlineLevel="0" max="5" min="5" style="0" width="18"/>
    <col collapsed="false" customWidth="true" hidden="false" outlineLevel="0" max="6" min="6" style="0" width="8"/>
    <col collapsed="false" customWidth="true" hidden="false" outlineLevel="0" max="7" min="7" style="0" width="10"/>
    <col collapsed="false" customWidth="true" hidden="false" outlineLevel="0" max="8" min="8" style="0" width="28"/>
    <col collapsed="false" customWidth="true" hidden="false" outlineLevel="0" max="9" min="9" style="0" width="20"/>
    <col collapsed="false" customWidth="true" hidden="false" outlineLevel="0" max="10" min="10" style="0" width="36"/>
    <col collapsed="false" customWidth="true" hidden="false" outlineLevel="0" max="11" min="11" style="0" width="34"/>
    <col collapsed="false" customWidth="true" hidden="false" outlineLevel="0" max="12" min="12" style="0" width="24"/>
    <col collapsed="false" customWidth="true" hidden="false" outlineLevel="0" max="13" min="13" style="0" width="14"/>
    <col collapsed="false" customWidth="true" hidden="false" outlineLevel="0" max="14" min="14" style="0" width="28"/>
    <col collapsed="false" customWidth="true" hidden="false" outlineLevel="0" max="15" min="15" style="0" width="26"/>
    <col collapsed="false" customWidth="true" hidden="false" outlineLevel="0" max="16" min="16" style="0" width="22"/>
    <col collapsed="false" customWidth="true" hidden="false" outlineLevel="0" max="17" min="17" style="0" width="34"/>
    <col collapsed="false" customWidth="true" hidden="false" outlineLevel="0" max="18" min="18" style="0" width="30"/>
    <col collapsed="false" customWidth="true" hidden="false" outlineLevel="0" max="19" min="19" style="0" width="26"/>
    <col collapsed="false" customWidth="true" hidden="false" outlineLevel="0" max="20" min="20" style="0" width="30"/>
    <col collapsed="false" customWidth="true" hidden="false" outlineLevel="0" max="22" min="21" style="0" width="10"/>
    <col collapsed="false" customWidth="true" hidden="false" outlineLevel="0" max="24" min="23" style="0" width="30"/>
    <col collapsed="false" customWidth="true" hidden="false" outlineLevel="0" max="25" min="25" style="0" width="45"/>
  </cols>
  <sheetData>
    <row r="1" customFormat="false" ht="18" hidden="false" customHeight="true" outlineLevel="0" collapsed="false">
      <c r="A1" s="1" t="s">
        <v>0</v>
      </c>
    </row>
    <row r="2" customFormat="false" ht="15" hidden="false" customHeight="false" outlineLevel="0" collapsed="false">
      <c r="A2" s="2" t="s">
        <v>1</v>
      </c>
    </row>
    <row r="4" customFormat="false" ht="42"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row>
    <row r="5" customFormat="false" ht="36" hidden="false" customHeight="true" outlineLevel="0" collapsed="false">
      <c r="A5" s="4" t="n">
        <v>1</v>
      </c>
      <c r="B5" s="4" t="n">
        <v>623</v>
      </c>
      <c r="C5" s="5" t="s">
        <v>27</v>
      </c>
      <c r="D5" s="4" t="s">
        <v>28</v>
      </c>
      <c r="E5" s="4" t="s">
        <v>29</v>
      </c>
      <c r="F5" s="4" t="s">
        <v>30</v>
      </c>
      <c r="G5" s="6" t="n">
        <v>56</v>
      </c>
      <c r="H5" s="4" t="s">
        <v>31</v>
      </c>
      <c r="I5" s="4" t="s">
        <v>32</v>
      </c>
      <c r="J5" s="4" t="s">
        <v>33</v>
      </c>
      <c r="K5" s="5" t="s">
        <v>34</v>
      </c>
      <c r="L5" s="5" t="s">
        <v>35</v>
      </c>
      <c r="M5" s="4" t="s">
        <v>36</v>
      </c>
      <c r="N5" s="5" t="s">
        <v>37</v>
      </c>
      <c r="O5" s="4" t="s">
        <v>38</v>
      </c>
      <c r="P5" s="5" t="s">
        <v>39</v>
      </c>
      <c r="Q5" s="5" t="s">
        <v>40</v>
      </c>
      <c r="R5" s="5" t="s">
        <v>41</v>
      </c>
      <c r="S5" s="4"/>
      <c r="T5" s="5" t="s">
        <v>42</v>
      </c>
      <c r="U5" s="4" t="n">
        <v>-29.96714592</v>
      </c>
      <c r="V5" s="4" t="n">
        <v>-71.32640076</v>
      </c>
      <c r="W5" s="5" t="s">
        <v>43</v>
      </c>
      <c r="X5" s="5" t="s">
        <v>44</v>
      </c>
      <c r="Y5" s="5"/>
    </row>
    <row r="6" customFormat="false" ht="36" hidden="false" customHeight="true" outlineLevel="0" collapsed="false">
      <c r="A6" s="7" t="n">
        <v>2</v>
      </c>
      <c r="B6" s="7" t="n">
        <v>616</v>
      </c>
      <c r="C6" s="8" t="s">
        <v>45</v>
      </c>
      <c r="D6" s="7" t="s">
        <v>28</v>
      </c>
      <c r="E6" s="7" t="s">
        <v>46</v>
      </c>
      <c r="F6" s="7" t="s">
        <v>30</v>
      </c>
      <c r="G6" s="9" t="n">
        <v>651</v>
      </c>
      <c r="H6" s="7" t="s">
        <v>47</v>
      </c>
      <c r="I6" s="7" t="s">
        <v>48</v>
      </c>
      <c r="J6" s="7" t="s">
        <v>49</v>
      </c>
      <c r="K6" s="8" t="s">
        <v>50</v>
      </c>
      <c r="L6" s="10" t="s">
        <v>51</v>
      </c>
      <c r="M6" s="11" t="s">
        <v>51</v>
      </c>
      <c r="N6" s="8" t="s">
        <v>52</v>
      </c>
      <c r="O6" s="7" t="s">
        <v>53</v>
      </c>
      <c r="P6" s="8" t="s">
        <v>54</v>
      </c>
      <c r="Q6" s="8" t="s">
        <v>55</v>
      </c>
      <c r="R6" s="8" t="s">
        <v>41</v>
      </c>
      <c r="S6" s="7"/>
      <c r="T6" s="8" t="s">
        <v>42</v>
      </c>
      <c r="U6" s="7" t="n">
        <v>-29.96734</v>
      </c>
      <c r="V6" s="7" t="n">
        <v>-71.339104</v>
      </c>
      <c r="W6" s="8" t="s">
        <v>43</v>
      </c>
      <c r="X6" s="8"/>
      <c r="Y6" s="8" t="s">
        <v>56</v>
      </c>
    </row>
    <row r="7" customFormat="false" ht="36" hidden="false" customHeight="true" outlineLevel="0" collapsed="false">
      <c r="A7" s="4" t="n">
        <v>3</v>
      </c>
      <c r="B7" s="4" t="n">
        <v>629</v>
      </c>
      <c r="C7" s="5" t="s">
        <v>57</v>
      </c>
      <c r="D7" s="4" t="s">
        <v>28</v>
      </c>
      <c r="E7" s="4" t="s">
        <v>58</v>
      </c>
      <c r="F7" s="4" t="s">
        <v>59</v>
      </c>
      <c r="G7" s="6" t="n">
        <v>741</v>
      </c>
      <c r="H7" s="4" t="s">
        <v>60</v>
      </c>
      <c r="I7" s="4" t="s">
        <v>61</v>
      </c>
      <c r="J7" s="4" t="s">
        <v>62</v>
      </c>
      <c r="K7" s="5" t="s">
        <v>63</v>
      </c>
      <c r="L7" s="5" t="s">
        <v>64</v>
      </c>
      <c r="M7" s="4" t="s">
        <v>65</v>
      </c>
      <c r="N7" s="5" t="s">
        <v>66</v>
      </c>
      <c r="O7" s="4" t="s">
        <v>67</v>
      </c>
      <c r="P7" s="5" t="s">
        <v>54</v>
      </c>
      <c r="Q7" s="5" t="s">
        <v>68</v>
      </c>
      <c r="R7" s="5" t="s">
        <v>41</v>
      </c>
      <c r="S7" s="4"/>
      <c r="T7" s="5" t="s">
        <v>42</v>
      </c>
      <c r="U7" s="4" t="n">
        <v>-30.05068</v>
      </c>
      <c r="V7" s="4" t="n">
        <v>-71.252403</v>
      </c>
      <c r="W7" s="5" t="s">
        <v>43</v>
      </c>
      <c r="X7" s="5" t="s">
        <v>69</v>
      </c>
      <c r="Y7" s="5" t="s">
        <v>70</v>
      </c>
    </row>
    <row r="8" customFormat="false" ht="36" hidden="false" customHeight="true" outlineLevel="0" collapsed="false">
      <c r="A8" s="7" t="n">
        <v>4</v>
      </c>
      <c r="B8" s="7" t="n">
        <v>617</v>
      </c>
      <c r="C8" s="8" t="s">
        <v>71</v>
      </c>
      <c r="D8" s="7" t="s">
        <v>28</v>
      </c>
      <c r="E8" s="7" t="s">
        <v>72</v>
      </c>
      <c r="F8" s="7" t="s">
        <v>30</v>
      </c>
      <c r="G8" s="9" t="n">
        <v>239</v>
      </c>
      <c r="H8" s="7" t="s">
        <v>73</v>
      </c>
      <c r="I8" s="7" t="s">
        <v>74</v>
      </c>
      <c r="J8" s="7" t="s">
        <v>75</v>
      </c>
      <c r="K8" s="8" t="s">
        <v>76</v>
      </c>
      <c r="L8" s="8" t="s">
        <v>77</v>
      </c>
      <c r="M8" s="7" t="s">
        <v>78</v>
      </c>
      <c r="N8" s="8" t="s">
        <v>79</v>
      </c>
      <c r="O8" s="7" t="s">
        <v>80</v>
      </c>
      <c r="P8" s="8" t="s">
        <v>81</v>
      </c>
      <c r="Q8" s="8" t="s">
        <v>82</v>
      </c>
      <c r="R8" s="8" t="s">
        <v>41</v>
      </c>
      <c r="S8" s="7"/>
      <c r="T8" s="8" t="s">
        <v>42</v>
      </c>
      <c r="U8" s="7" t="n">
        <v>-29.953659</v>
      </c>
      <c r="V8" s="7" t="n">
        <v>-71.343246</v>
      </c>
      <c r="W8" s="8" t="s">
        <v>43</v>
      </c>
      <c r="X8" s="8" t="s">
        <v>83</v>
      </c>
      <c r="Y8" s="8" t="s">
        <v>84</v>
      </c>
    </row>
    <row r="9" customFormat="false" ht="36" hidden="false" customHeight="true" outlineLevel="0" collapsed="false">
      <c r="A9" s="4" t="n">
        <v>5</v>
      </c>
      <c r="B9" s="4" t="n">
        <v>613</v>
      </c>
      <c r="C9" s="5" t="s">
        <v>85</v>
      </c>
      <c r="D9" s="4" t="s">
        <v>28</v>
      </c>
      <c r="E9" s="4" t="s">
        <v>46</v>
      </c>
      <c r="F9" s="4" t="s">
        <v>30</v>
      </c>
      <c r="G9" s="6" t="n">
        <v>755</v>
      </c>
      <c r="H9" s="4" t="s">
        <v>86</v>
      </c>
      <c r="I9" s="4" t="s">
        <v>87</v>
      </c>
      <c r="J9" s="4" t="s">
        <v>88</v>
      </c>
      <c r="K9" s="5" t="s">
        <v>89</v>
      </c>
      <c r="L9" s="5" t="s">
        <v>90</v>
      </c>
      <c r="M9" s="4" t="s">
        <v>91</v>
      </c>
      <c r="N9" s="5" t="s">
        <v>92</v>
      </c>
      <c r="O9" s="4" t="s">
        <v>93</v>
      </c>
      <c r="P9" s="5" t="s">
        <v>54</v>
      </c>
      <c r="Q9" s="5" t="s">
        <v>94</v>
      </c>
      <c r="R9" s="5" t="s">
        <v>41</v>
      </c>
      <c r="S9" s="4" t="s">
        <v>95</v>
      </c>
      <c r="T9" s="5" t="s">
        <v>42</v>
      </c>
      <c r="U9" s="4" t="n">
        <v>-29.961269</v>
      </c>
      <c r="V9" s="4" t="n">
        <v>-71.338287</v>
      </c>
      <c r="W9" s="5" t="s">
        <v>43</v>
      </c>
      <c r="X9" s="5" t="s">
        <v>96</v>
      </c>
      <c r="Y9" s="5" t="s">
        <v>97</v>
      </c>
    </row>
    <row r="10" customFormat="false" ht="36" hidden="false" customHeight="true" outlineLevel="0" collapsed="false">
      <c r="A10" s="7" t="n">
        <v>6</v>
      </c>
      <c r="B10" s="7" t="n">
        <v>630</v>
      </c>
      <c r="C10" s="8" t="s">
        <v>98</v>
      </c>
      <c r="D10" s="7" t="s">
        <v>28</v>
      </c>
      <c r="E10" s="7" t="s">
        <v>72</v>
      </c>
      <c r="F10" s="7" t="s">
        <v>30</v>
      </c>
      <c r="G10" s="9" t="n">
        <v>358</v>
      </c>
      <c r="H10" s="7" t="s">
        <v>99</v>
      </c>
      <c r="I10" s="7" t="s">
        <v>100</v>
      </c>
      <c r="J10" s="7" t="s">
        <v>101</v>
      </c>
      <c r="K10" s="8" t="s">
        <v>102</v>
      </c>
      <c r="L10" s="8" t="s">
        <v>103</v>
      </c>
      <c r="M10" s="7" t="s">
        <v>104</v>
      </c>
      <c r="N10" s="8" t="s">
        <v>105</v>
      </c>
      <c r="O10" s="7" t="s">
        <v>106</v>
      </c>
      <c r="P10" s="8" t="s">
        <v>81</v>
      </c>
      <c r="Q10" s="8" t="s">
        <v>107</v>
      </c>
      <c r="R10" s="8" t="s">
        <v>41</v>
      </c>
      <c r="S10" s="7"/>
      <c r="T10" s="8" t="s">
        <v>42</v>
      </c>
      <c r="U10" s="7" t="n">
        <v>-29.98613</v>
      </c>
      <c r="V10" s="7" t="n">
        <v>-71.361214</v>
      </c>
      <c r="W10" s="8" t="s">
        <v>43</v>
      </c>
      <c r="X10" s="8" t="s">
        <v>83</v>
      </c>
      <c r="Y10" s="8" t="s">
        <v>108</v>
      </c>
    </row>
    <row r="11" customFormat="false" ht="36" hidden="false" customHeight="true" outlineLevel="0" collapsed="false">
      <c r="A11" s="4" t="n">
        <v>7</v>
      </c>
      <c r="B11" s="4" t="n">
        <v>626</v>
      </c>
      <c r="C11" s="5" t="s">
        <v>109</v>
      </c>
      <c r="D11" s="4" t="s">
        <v>28</v>
      </c>
      <c r="E11" s="4" t="s">
        <v>110</v>
      </c>
      <c r="F11" s="4" t="s">
        <v>30</v>
      </c>
      <c r="G11" s="6" t="n">
        <v>668</v>
      </c>
      <c r="H11" s="4" t="s">
        <v>111</v>
      </c>
      <c r="I11" s="4" t="s">
        <v>112</v>
      </c>
      <c r="J11" s="4" t="s">
        <v>113</v>
      </c>
      <c r="K11" s="5" t="s">
        <v>114</v>
      </c>
      <c r="L11" s="5" t="s">
        <v>115</v>
      </c>
      <c r="M11" s="4" t="s">
        <v>116</v>
      </c>
      <c r="N11" s="5" t="s">
        <v>117</v>
      </c>
      <c r="O11" s="4" t="s">
        <v>118</v>
      </c>
      <c r="P11" s="5" t="s">
        <v>39</v>
      </c>
      <c r="Q11" s="5" t="s">
        <v>119</v>
      </c>
      <c r="R11" s="5" t="s">
        <v>41</v>
      </c>
      <c r="S11" s="4"/>
      <c r="T11" s="5" t="s">
        <v>42</v>
      </c>
      <c r="U11" s="4" t="n">
        <v>-30.26317</v>
      </c>
      <c r="V11" s="4" t="n">
        <v>-71.489883</v>
      </c>
      <c r="W11" s="5" t="s">
        <v>43</v>
      </c>
      <c r="X11" s="5" t="s">
        <v>44</v>
      </c>
      <c r="Y11" s="5"/>
    </row>
    <row r="12" customFormat="false" ht="36" hidden="false" customHeight="true" outlineLevel="0" collapsed="false">
      <c r="A12" s="7" t="n">
        <v>8</v>
      </c>
      <c r="B12" s="7" t="n">
        <v>632</v>
      </c>
      <c r="C12" s="8" t="s">
        <v>120</v>
      </c>
      <c r="D12" s="7" t="s">
        <v>28</v>
      </c>
      <c r="E12" s="7" t="s">
        <v>72</v>
      </c>
      <c r="F12" s="7" t="s">
        <v>30</v>
      </c>
      <c r="G12" s="9" t="n">
        <v>394</v>
      </c>
      <c r="H12" s="7" t="s">
        <v>121</v>
      </c>
      <c r="I12" s="7" t="s">
        <v>122</v>
      </c>
      <c r="J12" s="7" t="s">
        <v>123</v>
      </c>
      <c r="K12" s="8" t="s">
        <v>124</v>
      </c>
      <c r="L12" s="8" t="s">
        <v>125</v>
      </c>
      <c r="M12" s="7" t="s">
        <v>126</v>
      </c>
      <c r="N12" s="8" t="s">
        <v>127</v>
      </c>
      <c r="O12" s="7" t="s">
        <v>128</v>
      </c>
      <c r="P12" s="8" t="s">
        <v>81</v>
      </c>
      <c r="Q12" s="8" t="s">
        <v>129</v>
      </c>
      <c r="R12" s="8" t="s">
        <v>41</v>
      </c>
      <c r="S12" s="7"/>
      <c r="T12" s="8" t="s">
        <v>42</v>
      </c>
      <c r="U12" s="7" t="n">
        <v>-30.19949</v>
      </c>
      <c r="V12" s="7" t="n">
        <v>-71.429733</v>
      </c>
      <c r="W12" s="8" t="s">
        <v>43</v>
      </c>
      <c r="X12" s="8" t="s">
        <v>44</v>
      </c>
      <c r="Y12" s="8"/>
    </row>
    <row r="13" customFormat="false" ht="36" hidden="false" customHeight="true" outlineLevel="0" collapsed="false">
      <c r="A13" s="4" t="n">
        <v>9</v>
      </c>
      <c r="B13" s="4" t="n">
        <v>621</v>
      </c>
      <c r="C13" s="5" t="s">
        <v>130</v>
      </c>
      <c r="D13" s="4" t="s">
        <v>28</v>
      </c>
      <c r="E13" s="4" t="s">
        <v>72</v>
      </c>
      <c r="F13" s="4" t="s">
        <v>30</v>
      </c>
      <c r="G13" s="6" t="n">
        <v>213</v>
      </c>
      <c r="H13" s="4" t="s">
        <v>131</v>
      </c>
      <c r="I13" s="4" t="s">
        <v>132</v>
      </c>
      <c r="J13" s="4" t="s">
        <v>133</v>
      </c>
      <c r="K13" s="5" t="s">
        <v>134</v>
      </c>
      <c r="L13" s="5" t="s">
        <v>135</v>
      </c>
      <c r="M13" s="4" t="s">
        <v>136</v>
      </c>
      <c r="N13" s="5" t="s">
        <v>137</v>
      </c>
      <c r="O13" s="4" t="s">
        <v>138</v>
      </c>
      <c r="P13" s="5" t="s">
        <v>54</v>
      </c>
      <c r="Q13" s="5" t="s">
        <v>139</v>
      </c>
      <c r="R13" s="5" t="s">
        <v>41</v>
      </c>
      <c r="S13" s="4"/>
      <c r="T13" s="5" t="s">
        <v>42</v>
      </c>
      <c r="U13" s="4" t="n">
        <v>-29.967279</v>
      </c>
      <c r="V13" s="4" t="n">
        <v>-71.327621</v>
      </c>
      <c r="W13" s="5" t="s">
        <v>43</v>
      </c>
      <c r="X13" s="5" t="s">
        <v>44</v>
      </c>
      <c r="Y13" s="5" t="s">
        <v>140</v>
      </c>
    </row>
    <row r="14" customFormat="false" ht="36" hidden="false" customHeight="true" outlineLevel="0" collapsed="false">
      <c r="A14" s="7" t="n">
        <v>10</v>
      </c>
      <c r="B14" s="7" t="n">
        <v>13557</v>
      </c>
      <c r="C14" s="8" t="s">
        <v>141</v>
      </c>
      <c r="D14" s="7" t="s">
        <v>28</v>
      </c>
      <c r="E14" s="7" t="s">
        <v>72</v>
      </c>
      <c r="F14" s="7" t="s">
        <v>30</v>
      </c>
      <c r="G14" s="9" t="n">
        <v>263</v>
      </c>
      <c r="H14" s="7" t="s">
        <v>142</v>
      </c>
      <c r="I14" s="7" t="s">
        <v>143</v>
      </c>
      <c r="J14" s="7" t="s">
        <v>144</v>
      </c>
      <c r="K14" s="8" t="s">
        <v>145</v>
      </c>
      <c r="L14" s="8" t="s">
        <v>146</v>
      </c>
      <c r="M14" s="7" t="s">
        <v>147</v>
      </c>
      <c r="N14" s="8" t="s">
        <v>148</v>
      </c>
      <c r="O14" s="7" t="s">
        <v>149</v>
      </c>
      <c r="P14" s="8" t="s">
        <v>54</v>
      </c>
      <c r="Q14" s="8" t="s">
        <v>150</v>
      </c>
      <c r="R14" s="8" t="s">
        <v>41</v>
      </c>
      <c r="S14" s="7"/>
      <c r="T14" s="8" t="s">
        <v>42</v>
      </c>
      <c r="U14" s="7" t="n">
        <v>-29.95595</v>
      </c>
      <c r="V14" s="7" t="n">
        <v>-71.247238</v>
      </c>
      <c r="W14" s="8" t="s">
        <v>43</v>
      </c>
      <c r="X14" s="8" t="s">
        <v>83</v>
      </c>
      <c r="Y14" s="8" t="s">
        <v>84</v>
      </c>
    </row>
    <row r="15" customFormat="false" ht="36" hidden="false" customHeight="true" outlineLevel="0" collapsed="false">
      <c r="A15" s="4" t="n">
        <v>11</v>
      </c>
      <c r="B15" s="4" t="n">
        <v>615</v>
      </c>
      <c r="C15" s="5" t="s">
        <v>151</v>
      </c>
      <c r="D15" s="4" t="s">
        <v>28</v>
      </c>
      <c r="E15" s="4" t="s">
        <v>72</v>
      </c>
      <c r="F15" s="4" t="s">
        <v>30</v>
      </c>
      <c r="G15" s="6" t="n">
        <v>244</v>
      </c>
      <c r="H15" s="4" t="s">
        <v>152</v>
      </c>
      <c r="I15" s="4" t="s">
        <v>153</v>
      </c>
      <c r="J15" s="4" t="s">
        <v>154</v>
      </c>
      <c r="K15" s="5" t="s">
        <v>155</v>
      </c>
      <c r="L15" s="5" t="s">
        <v>156</v>
      </c>
      <c r="M15" s="4" t="s">
        <v>157</v>
      </c>
      <c r="N15" s="5" t="s">
        <v>158</v>
      </c>
      <c r="O15" s="4" t="s">
        <v>159</v>
      </c>
      <c r="P15" s="5" t="s">
        <v>160</v>
      </c>
      <c r="Q15" s="5" t="s">
        <v>161</v>
      </c>
      <c r="R15" s="5" t="s">
        <v>41</v>
      </c>
      <c r="S15" s="4"/>
      <c r="T15" s="5" t="s">
        <v>42</v>
      </c>
      <c r="U15" s="4" t="n">
        <v>-29.954359</v>
      </c>
      <c r="V15" s="4" t="n">
        <v>-71.336273</v>
      </c>
      <c r="W15" s="5" t="s">
        <v>43</v>
      </c>
      <c r="X15" s="5" t="s">
        <v>83</v>
      </c>
      <c r="Y15" s="5"/>
    </row>
    <row r="16" customFormat="false" ht="36" hidden="false" customHeight="true" outlineLevel="0" collapsed="false">
      <c r="A16" s="7" t="n">
        <v>12</v>
      </c>
      <c r="B16" s="7" t="n">
        <v>624</v>
      </c>
      <c r="C16" s="8" t="s">
        <v>162</v>
      </c>
      <c r="D16" s="7" t="s">
        <v>28</v>
      </c>
      <c r="E16" s="7" t="s">
        <v>29</v>
      </c>
      <c r="F16" s="7" t="s">
        <v>30</v>
      </c>
      <c r="G16" s="9" t="n">
        <v>74</v>
      </c>
      <c r="H16" s="7" t="s">
        <v>163</v>
      </c>
      <c r="I16" s="7" t="s">
        <v>164</v>
      </c>
      <c r="J16" s="7" t="s">
        <v>165</v>
      </c>
      <c r="K16" s="8" t="s">
        <v>166</v>
      </c>
      <c r="L16" s="8" t="s">
        <v>167</v>
      </c>
      <c r="M16" s="7" t="s">
        <v>168</v>
      </c>
      <c r="N16" s="8" t="s">
        <v>169</v>
      </c>
      <c r="O16" s="7" t="s">
        <v>170</v>
      </c>
      <c r="P16" s="8" t="s">
        <v>81</v>
      </c>
      <c r="Q16" s="8" t="s">
        <v>171</v>
      </c>
      <c r="R16" s="8" t="s">
        <v>41</v>
      </c>
      <c r="S16" s="7"/>
      <c r="T16" s="8" t="s">
        <v>42</v>
      </c>
      <c r="U16" s="7" t="n">
        <v>-29.96768951</v>
      </c>
      <c r="V16" s="7" t="n">
        <v>-71.32416534</v>
      </c>
      <c r="W16" s="8" t="s">
        <v>43</v>
      </c>
      <c r="X16" s="8" t="s">
        <v>44</v>
      </c>
      <c r="Y16" s="8"/>
    </row>
    <row r="17" customFormat="false" ht="36" hidden="false" customHeight="true" outlineLevel="0" collapsed="false">
      <c r="A17" s="4" t="n">
        <v>13</v>
      </c>
      <c r="B17" s="4" t="n">
        <v>612</v>
      </c>
      <c r="C17" s="5" t="s">
        <v>172</v>
      </c>
      <c r="D17" s="4" t="s">
        <v>28</v>
      </c>
      <c r="E17" s="4" t="s">
        <v>72</v>
      </c>
      <c r="F17" s="4" t="s">
        <v>30</v>
      </c>
      <c r="G17" s="6" t="n">
        <v>276</v>
      </c>
      <c r="H17" s="4" t="s">
        <v>173</v>
      </c>
      <c r="I17" s="4" t="s">
        <v>174</v>
      </c>
      <c r="J17" s="4" t="s">
        <v>175</v>
      </c>
      <c r="K17" s="5" t="s">
        <v>176</v>
      </c>
      <c r="L17" s="5" t="s">
        <v>177</v>
      </c>
      <c r="M17" s="4" t="s">
        <v>178</v>
      </c>
      <c r="N17" s="5" t="s">
        <v>179</v>
      </c>
      <c r="O17" s="4" t="s">
        <v>180</v>
      </c>
      <c r="P17" s="5" t="s">
        <v>160</v>
      </c>
      <c r="Q17" s="5" t="s">
        <v>181</v>
      </c>
      <c r="R17" s="5" t="s">
        <v>41</v>
      </c>
      <c r="S17" s="4"/>
      <c r="T17" s="5" t="s">
        <v>42</v>
      </c>
      <c r="U17" s="4" t="n">
        <v>-29.971701</v>
      </c>
      <c r="V17" s="4" t="n">
        <v>-71.325447</v>
      </c>
      <c r="W17" s="5" t="s">
        <v>43</v>
      </c>
      <c r="X17" s="5" t="s">
        <v>44</v>
      </c>
      <c r="Y17" s="5"/>
    </row>
    <row r="18" customFormat="false" ht="36" hidden="false" customHeight="true" outlineLevel="0" collapsed="false">
      <c r="A18" s="7" t="n">
        <v>14</v>
      </c>
      <c r="B18" s="7" t="n">
        <v>620</v>
      </c>
      <c r="C18" s="8" t="s">
        <v>182</v>
      </c>
      <c r="D18" s="7" t="s">
        <v>28</v>
      </c>
      <c r="E18" s="7" t="s">
        <v>72</v>
      </c>
      <c r="F18" s="7" t="s">
        <v>30</v>
      </c>
      <c r="G18" s="9" t="n">
        <v>513</v>
      </c>
      <c r="H18" s="7" t="s">
        <v>183</v>
      </c>
      <c r="I18" s="7" t="s">
        <v>184</v>
      </c>
      <c r="J18" s="7" t="s">
        <v>185</v>
      </c>
      <c r="K18" s="8" t="s">
        <v>186</v>
      </c>
      <c r="L18" s="8" t="s">
        <v>187</v>
      </c>
      <c r="M18" s="7" t="s">
        <v>188</v>
      </c>
      <c r="N18" s="8" t="s">
        <v>189</v>
      </c>
      <c r="O18" s="7" t="s">
        <v>190</v>
      </c>
      <c r="P18" s="8" t="s">
        <v>81</v>
      </c>
      <c r="Q18" s="8" t="s">
        <v>191</v>
      </c>
      <c r="R18" s="8" t="s">
        <v>41</v>
      </c>
      <c r="S18" s="7" t="s">
        <v>192</v>
      </c>
      <c r="T18" s="8" t="s">
        <v>42</v>
      </c>
      <c r="U18" s="7" t="n">
        <v>-29.957069</v>
      </c>
      <c r="V18" s="7" t="n">
        <v>-71.261627</v>
      </c>
      <c r="W18" s="8" t="s">
        <v>43</v>
      </c>
      <c r="X18" s="8" t="s">
        <v>193</v>
      </c>
      <c r="Y18" s="8"/>
    </row>
    <row r="19" customFormat="false" ht="36" hidden="false" customHeight="true" outlineLevel="0" collapsed="false">
      <c r="A19" s="4" t="n">
        <v>15</v>
      </c>
      <c r="B19" s="4" t="n">
        <v>13562</v>
      </c>
      <c r="C19" s="5" t="s">
        <v>194</v>
      </c>
      <c r="D19" s="4" t="s">
        <v>28</v>
      </c>
      <c r="E19" s="4" t="s">
        <v>72</v>
      </c>
      <c r="F19" s="4" t="s">
        <v>30</v>
      </c>
      <c r="G19" s="6" t="n">
        <v>171</v>
      </c>
      <c r="H19" s="4" t="s">
        <v>195</v>
      </c>
      <c r="I19" s="4" t="s">
        <v>196</v>
      </c>
      <c r="J19" s="4" t="s">
        <v>197</v>
      </c>
      <c r="K19" s="5" t="s">
        <v>198</v>
      </c>
      <c r="L19" s="5" t="s">
        <v>199</v>
      </c>
      <c r="M19" s="4" t="s">
        <v>147</v>
      </c>
      <c r="N19" s="5" t="s">
        <v>200</v>
      </c>
      <c r="O19" s="4" t="s">
        <v>201</v>
      </c>
      <c r="P19" s="5" t="s">
        <v>54</v>
      </c>
      <c r="Q19" s="5" t="s">
        <v>202</v>
      </c>
      <c r="R19" s="5" t="s">
        <v>41</v>
      </c>
      <c r="S19" s="4"/>
      <c r="T19" s="5" t="s">
        <v>42</v>
      </c>
      <c r="U19" s="4" t="n">
        <v>-29.936899</v>
      </c>
      <c r="V19" s="4" t="n">
        <v>-71.339867</v>
      </c>
      <c r="W19" s="5" t="s">
        <v>43</v>
      </c>
      <c r="X19" s="5" t="s">
        <v>83</v>
      </c>
      <c r="Y19" s="5"/>
    </row>
    <row r="20" customFormat="false" ht="36" hidden="false" customHeight="true" outlineLevel="0" collapsed="false">
      <c r="A20" s="7" t="n">
        <v>16</v>
      </c>
      <c r="B20" s="7" t="n">
        <v>637</v>
      </c>
      <c r="C20" s="8" t="s">
        <v>203</v>
      </c>
      <c r="D20" s="7" t="s">
        <v>28</v>
      </c>
      <c r="E20" s="7" t="s">
        <v>72</v>
      </c>
      <c r="F20" s="7" t="s">
        <v>30</v>
      </c>
      <c r="G20" s="9" t="n">
        <v>256</v>
      </c>
      <c r="H20" s="7" t="s">
        <v>204</v>
      </c>
      <c r="I20" s="7" t="s">
        <v>205</v>
      </c>
      <c r="J20" s="7" t="s">
        <v>206</v>
      </c>
      <c r="K20" s="8" t="s">
        <v>207</v>
      </c>
      <c r="L20" s="10" t="s">
        <v>51</v>
      </c>
      <c r="M20" s="11" t="s">
        <v>51</v>
      </c>
      <c r="N20" s="8" t="s">
        <v>208</v>
      </c>
      <c r="O20" s="7" t="s">
        <v>209</v>
      </c>
      <c r="P20" s="8" t="s">
        <v>54</v>
      </c>
      <c r="Q20" s="8" t="s">
        <v>210</v>
      </c>
      <c r="R20" s="8" t="s">
        <v>41</v>
      </c>
      <c r="S20" s="7"/>
      <c r="T20" s="8" t="s">
        <v>42</v>
      </c>
      <c r="U20" s="7" t="n">
        <v>-29.97381</v>
      </c>
      <c r="V20" s="7" t="n">
        <v>-71.299103</v>
      </c>
      <c r="W20" s="8" t="s">
        <v>43</v>
      </c>
      <c r="X20" s="8"/>
      <c r="Y20" s="8"/>
    </row>
    <row r="21" customFormat="false" ht="36" hidden="false" customHeight="true" outlineLevel="0" collapsed="false">
      <c r="A21" s="4" t="n">
        <v>17</v>
      </c>
      <c r="B21" s="4" t="n">
        <v>13560</v>
      </c>
      <c r="C21" s="5" t="s">
        <v>211</v>
      </c>
      <c r="D21" s="4" t="s">
        <v>28</v>
      </c>
      <c r="E21" s="4" t="s">
        <v>72</v>
      </c>
      <c r="F21" s="4" t="s">
        <v>30</v>
      </c>
      <c r="G21" s="6" t="n">
        <v>199</v>
      </c>
      <c r="H21" s="4" t="s">
        <v>212</v>
      </c>
      <c r="I21" s="4" t="s">
        <v>213</v>
      </c>
      <c r="J21" s="4" t="s">
        <v>214</v>
      </c>
      <c r="K21" s="5" t="s">
        <v>215</v>
      </c>
      <c r="L21" s="5" t="s">
        <v>216</v>
      </c>
      <c r="M21" s="4" t="s">
        <v>147</v>
      </c>
      <c r="N21" s="5" t="s">
        <v>217</v>
      </c>
      <c r="O21" s="4" t="s">
        <v>218</v>
      </c>
      <c r="P21" s="5" t="s">
        <v>54</v>
      </c>
      <c r="Q21" s="5" t="s">
        <v>219</v>
      </c>
      <c r="R21" s="5" t="s">
        <v>41</v>
      </c>
      <c r="S21" s="4" t="s">
        <v>220</v>
      </c>
      <c r="T21" s="5" t="s">
        <v>42</v>
      </c>
      <c r="U21" s="4" t="n">
        <v>-29.951389</v>
      </c>
      <c r="V21" s="4" t="n">
        <v>-71.349281</v>
      </c>
      <c r="W21" s="5" t="s">
        <v>43</v>
      </c>
      <c r="X21" s="5" t="s">
        <v>44</v>
      </c>
      <c r="Y21" s="5"/>
    </row>
    <row r="22" customFormat="false" ht="36" hidden="false" customHeight="true" outlineLevel="0" collapsed="false">
      <c r="A22" s="7" t="n">
        <v>18</v>
      </c>
      <c r="B22" s="7" t="n">
        <v>614</v>
      </c>
      <c r="C22" s="8" t="s">
        <v>221</v>
      </c>
      <c r="D22" s="7" t="s">
        <v>28</v>
      </c>
      <c r="E22" s="7" t="s">
        <v>72</v>
      </c>
      <c r="F22" s="7" t="s">
        <v>30</v>
      </c>
      <c r="G22" s="9" t="n">
        <v>277</v>
      </c>
      <c r="H22" s="7" t="s">
        <v>222</v>
      </c>
      <c r="I22" s="7" t="s">
        <v>223</v>
      </c>
      <c r="J22" s="7" t="s">
        <v>224</v>
      </c>
      <c r="K22" s="8" t="s">
        <v>225</v>
      </c>
      <c r="L22" s="8" t="s">
        <v>226</v>
      </c>
      <c r="M22" s="7" t="s">
        <v>227</v>
      </c>
      <c r="N22" s="8" t="s">
        <v>228</v>
      </c>
      <c r="O22" s="7" t="s">
        <v>229</v>
      </c>
      <c r="P22" s="8" t="s">
        <v>54</v>
      </c>
      <c r="Q22" s="8" t="s">
        <v>230</v>
      </c>
      <c r="R22" s="8" t="s">
        <v>41</v>
      </c>
      <c r="S22" s="7" t="s">
        <v>231</v>
      </c>
      <c r="T22" s="8" t="s">
        <v>42</v>
      </c>
      <c r="U22" s="7" t="n">
        <v>-29.95573</v>
      </c>
      <c r="V22" s="7" t="n">
        <v>-71.339958</v>
      </c>
      <c r="W22" s="8" t="s">
        <v>43</v>
      </c>
      <c r="X22" s="8" t="s">
        <v>83</v>
      </c>
      <c r="Y22" s="8"/>
    </row>
    <row r="23" customFormat="false" ht="36" hidden="false" customHeight="true" outlineLevel="0" collapsed="false">
      <c r="A23" s="4" t="n">
        <v>19</v>
      </c>
      <c r="B23" s="4" t="n">
        <v>13559</v>
      </c>
      <c r="C23" s="5" t="s">
        <v>232</v>
      </c>
      <c r="D23" s="4" t="s">
        <v>28</v>
      </c>
      <c r="E23" s="4" t="s">
        <v>72</v>
      </c>
      <c r="F23" s="4" t="s">
        <v>30</v>
      </c>
      <c r="G23" s="6" t="n">
        <v>377</v>
      </c>
      <c r="H23" s="4" t="s">
        <v>233</v>
      </c>
      <c r="I23" s="4" t="s">
        <v>234</v>
      </c>
      <c r="J23" s="4" t="s">
        <v>235</v>
      </c>
      <c r="K23" s="5" t="s">
        <v>236</v>
      </c>
      <c r="L23" s="5" t="s">
        <v>237</v>
      </c>
      <c r="M23" s="4" t="s">
        <v>147</v>
      </c>
      <c r="N23" s="5" t="s">
        <v>238</v>
      </c>
      <c r="O23" s="4" t="s">
        <v>239</v>
      </c>
      <c r="P23" s="5" t="s">
        <v>81</v>
      </c>
      <c r="Q23" s="5" t="s">
        <v>240</v>
      </c>
      <c r="R23" s="5" t="s">
        <v>41</v>
      </c>
      <c r="S23" s="4"/>
      <c r="T23" s="5" t="s">
        <v>42</v>
      </c>
      <c r="U23" s="4" t="n">
        <v>-29.98612</v>
      </c>
      <c r="V23" s="4" t="n">
        <v>-71.332314</v>
      </c>
      <c r="W23" s="5" t="s">
        <v>43</v>
      </c>
      <c r="X23" s="5" t="s">
        <v>44</v>
      </c>
      <c r="Y23" s="5" t="s">
        <v>241</v>
      </c>
    </row>
    <row r="24" customFormat="false" ht="36" hidden="false" customHeight="true" outlineLevel="0" collapsed="false">
      <c r="A24" s="7" t="n">
        <v>20</v>
      </c>
      <c r="B24" s="7" t="n">
        <v>631</v>
      </c>
      <c r="C24" s="8" t="s">
        <v>242</v>
      </c>
      <c r="D24" s="7" t="s">
        <v>28</v>
      </c>
      <c r="E24" s="7" t="s">
        <v>72</v>
      </c>
      <c r="F24" s="7" t="s">
        <v>30</v>
      </c>
      <c r="G24" s="9" t="n">
        <v>418</v>
      </c>
      <c r="H24" s="7" t="s">
        <v>243</v>
      </c>
      <c r="I24" s="7" t="s">
        <v>244</v>
      </c>
      <c r="J24" s="7" t="s">
        <v>245</v>
      </c>
      <c r="K24" s="8" t="s">
        <v>246</v>
      </c>
      <c r="L24" s="8" t="s">
        <v>247</v>
      </c>
      <c r="M24" s="7" t="s">
        <v>248</v>
      </c>
      <c r="N24" s="8" t="s">
        <v>249</v>
      </c>
      <c r="O24" s="7" t="s">
        <v>250</v>
      </c>
      <c r="P24" s="8" t="s">
        <v>81</v>
      </c>
      <c r="Q24" s="8" t="s">
        <v>251</v>
      </c>
      <c r="R24" s="8" t="s">
        <v>41</v>
      </c>
      <c r="S24" s="7" t="s">
        <v>252</v>
      </c>
      <c r="T24" s="8" t="s">
        <v>42</v>
      </c>
      <c r="U24" s="7" t="n">
        <v>-30.01071</v>
      </c>
      <c r="V24" s="7" t="n">
        <v>-71.256767</v>
      </c>
      <c r="W24" s="8" t="s">
        <v>43</v>
      </c>
      <c r="X24" s="8" t="s">
        <v>253</v>
      </c>
      <c r="Y24" s="8"/>
    </row>
    <row r="25" customFormat="false" ht="36" hidden="false" customHeight="true" outlineLevel="0" collapsed="false">
      <c r="A25" s="4" t="n">
        <v>21</v>
      </c>
      <c r="B25" s="4" t="n">
        <v>618</v>
      </c>
      <c r="C25" s="5" t="s">
        <v>254</v>
      </c>
      <c r="D25" s="4" t="s">
        <v>28</v>
      </c>
      <c r="E25" s="4" t="s">
        <v>72</v>
      </c>
      <c r="F25" s="4" t="s">
        <v>30</v>
      </c>
      <c r="G25" s="6" t="n">
        <v>632</v>
      </c>
      <c r="H25" s="4" t="s">
        <v>255</v>
      </c>
      <c r="I25" s="4" t="s">
        <v>256</v>
      </c>
      <c r="J25" s="4" t="s">
        <v>257</v>
      </c>
      <c r="K25" s="5" t="s">
        <v>258</v>
      </c>
      <c r="L25" s="5" t="s">
        <v>259</v>
      </c>
      <c r="M25" s="4" t="s">
        <v>260</v>
      </c>
      <c r="N25" s="5" t="s">
        <v>261</v>
      </c>
      <c r="O25" s="4" t="s">
        <v>262</v>
      </c>
      <c r="P25" s="5" t="s">
        <v>81</v>
      </c>
      <c r="Q25" s="5" t="s">
        <v>263</v>
      </c>
      <c r="R25" s="5" t="s">
        <v>41</v>
      </c>
      <c r="S25" s="4"/>
      <c r="T25" s="5" t="s">
        <v>42</v>
      </c>
      <c r="U25" s="4" t="n">
        <v>-29.962</v>
      </c>
      <c r="V25" s="4" t="n">
        <v>-71.254204</v>
      </c>
      <c r="W25" s="5" t="s">
        <v>43</v>
      </c>
      <c r="X25" s="5" t="s">
        <v>44</v>
      </c>
      <c r="Y25" s="5"/>
    </row>
    <row r="26" customFormat="false" ht="36" hidden="false" customHeight="true" outlineLevel="0" collapsed="false">
      <c r="A26" s="7" t="n">
        <v>22</v>
      </c>
      <c r="B26" s="7" t="n">
        <v>625</v>
      </c>
      <c r="C26" s="8" t="s">
        <v>264</v>
      </c>
      <c r="D26" s="7" t="s">
        <v>28</v>
      </c>
      <c r="E26" s="7" t="s">
        <v>72</v>
      </c>
      <c r="F26" s="7" t="s">
        <v>30</v>
      </c>
      <c r="G26" s="9" t="n">
        <v>187</v>
      </c>
      <c r="H26" s="7" t="s">
        <v>265</v>
      </c>
      <c r="I26" s="7" t="s">
        <v>266</v>
      </c>
      <c r="J26" s="7" t="s">
        <v>267</v>
      </c>
      <c r="K26" s="8" t="s">
        <v>268</v>
      </c>
      <c r="L26" s="10" t="s">
        <v>51</v>
      </c>
      <c r="M26" s="7" t="s">
        <v>269</v>
      </c>
      <c r="N26" s="8" t="s">
        <v>270</v>
      </c>
      <c r="O26" s="7" t="s">
        <v>271</v>
      </c>
      <c r="P26" s="8" t="s">
        <v>272</v>
      </c>
      <c r="Q26" s="8" t="s">
        <v>273</v>
      </c>
      <c r="R26" s="8" t="s">
        <v>41</v>
      </c>
      <c r="S26" s="7" t="s">
        <v>274</v>
      </c>
      <c r="T26" s="8" t="s">
        <v>42</v>
      </c>
      <c r="U26" s="7" t="n">
        <v>-29.96139</v>
      </c>
      <c r="V26" s="7" t="n">
        <v>-71.348793</v>
      </c>
      <c r="W26" s="8" t="s">
        <v>43</v>
      </c>
      <c r="X26" s="8" t="s">
        <v>44</v>
      </c>
      <c r="Y26" s="8"/>
    </row>
    <row r="27" customFormat="false" ht="48" hidden="false" customHeight="true" outlineLevel="0" collapsed="false">
      <c r="A27" s="4" t="n">
        <v>23</v>
      </c>
      <c r="B27" s="4" t="n">
        <v>638</v>
      </c>
      <c r="C27" s="5" t="s">
        <v>275</v>
      </c>
      <c r="D27" s="4" t="s">
        <v>28</v>
      </c>
      <c r="E27" s="4"/>
      <c r="F27" s="4" t="s">
        <v>59</v>
      </c>
      <c r="G27" s="6" t="n">
        <v>0</v>
      </c>
      <c r="H27" s="12" t="s">
        <v>51</v>
      </c>
      <c r="I27" s="4" t="s">
        <v>276</v>
      </c>
      <c r="J27" s="4" t="s">
        <v>277</v>
      </c>
      <c r="K27" s="5" t="s">
        <v>278</v>
      </c>
      <c r="L27" s="13" t="s">
        <v>51</v>
      </c>
      <c r="M27" s="12" t="s">
        <v>51</v>
      </c>
      <c r="N27" s="5" t="s">
        <v>279</v>
      </c>
      <c r="O27" s="4" t="s">
        <v>280</v>
      </c>
      <c r="P27" s="5"/>
      <c r="Q27" s="5"/>
      <c r="R27" s="5"/>
      <c r="S27" s="4"/>
      <c r="T27" s="5" t="s">
        <v>42</v>
      </c>
      <c r="U27" s="4" t="n">
        <v>-30.436291</v>
      </c>
      <c r="V27" s="4" t="n">
        <v>-71.379044</v>
      </c>
      <c r="W27" s="5" t="s">
        <v>281</v>
      </c>
      <c r="X27" s="5"/>
      <c r="Y27" s="5" t="s">
        <v>282</v>
      </c>
    </row>
    <row r="28" customFormat="false" ht="48" hidden="false" customHeight="true" outlineLevel="0" collapsed="false">
      <c r="A28" s="7" t="n">
        <v>24</v>
      </c>
      <c r="B28" s="7" t="n">
        <v>634</v>
      </c>
      <c r="C28" s="8" t="s">
        <v>283</v>
      </c>
      <c r="D28" s="7" t="s">
        <v>28</v>
      </c>
      <c r="E28" s="7" t="s">
        <v>284</v>
      </c>
      <c r="F28" s="7" t="s">
        <v>59</v>
      </c>
      <c r="G28" s="9" t="n">
        <v>47</v>
      </c>
      <c r="H28" s="7" t="s">
        <v>285</v>
      </c>
      <c r="I28" s="7" t="s">
        <v>286</v>
      </c>
      <c r="J28" s="7" t="s">
        <v>287</v>
      </c>
      <c r="K28" s="8" t="s">
        <v>288</v>
      </c>
      <c r="L28" s="8" t="s">
        <v>289</v>
      </c>
      <c r="M28" s="7" t="s">
        <v>188</v>
      </c>
      <c r="N28" s="8" t="s">
        <v>290</v>
      </c>
      <c r="O28" s="7" t="s">
        <v>291</v>
      </c>
      <c r="P28" s="8" t="s">
        <v>54</v>
      </c>
      <c r="Q28" s="8" t="s">
        <v>292</v>
      </c>
      <c r="R28" s="8" t="s">
        <v>41</v>
      </c>
      <c r="S28" s="7"/>
      <c r="T28" s="8" t="s">
        <v>42</v>
      </c>
      <c r="U28" s="7" t="n">
        <v>-29.97542</v>
      </c>
      <c r="V28" s="7" t="n">
        <v>-71.219368</v>
      </c>
      <c r="W28" s="8" t="s">
        <v>43</v>
      </c>
      <c r="X28" s="8" t="s">
        <v>83</v>
      </c>
      <c r="Y28" s="8" t="s">
        <v>293</v>
      </c>
    </row>
    <row r="29" customFormat="false" ht="36" hidden="false" customHeight="true" outlineLevel="0" collapsed="false">
      <c r="A29" s="4" t="n">
        <v>25</v>
      </c>
      <c r="B29" s="4" t="n">
        <v>628</v>
      </c>
      <c r="C29" s="5" t="s">
        <v>294</v>
      </c>
      <c r="D29" s="4" t="s">
        <v>28</v>
      </c>
      <c r="E29" s="4" t="s">
        <v>72</v>
      </c>
      <c r="F29" s="4" t="s">
        <v>30</v>
      </c>
      <c r="G29" s="6" t="n">
        <v>245</v>
      </c>
      <c r="H29" s="4" t="s">
        <v>295</v>
      </c>
      <c r="I29" s="4" t="s">
        <v>296</v>
      </c>
      <c r="J29" s="4" t="s">
        <v>297</v>
      </c>
      <c r="K29" s="5" t="s">
        <v>298</v>
      </c>
      <c r="L29" s="5" t="s">
        <v>299</v>
      </c>
      <c r="M29" s="4" t="s">
        <v>300</v>
      </c>
      <c r="N29" s="5" t="s">
        <v>301</v>
      </c>
      <c r="O29" s="4" t="s">
        <v>302</v>
      </c>
      <c r="P29" s="5" t="s">
        <v>81</v>
      </c>
      <c r="Q29" s="5" t="s">
        <v>303</v>
      </c>
      <c r="R29" s="5" t="s">
        <v>41</v>
      </c>
      <c r="S29" s="4"/>
      <c r="T29" s="5" t="s">
        <v>42</v>
      </c>
      <c r="U29" s="4" t="n">
        <v>-29.95158</v>
      </c>
      <c r="V29" s="4" t="n">
        <v>-71.296204</v>
      </c>
      <c r="W29" s="5" t="s">
        <v>43</v>
      </c>
      <c r="X29" s="5" t="s">
        <v>44</v>
      </c>
      <c r="Y29" s="5"/>
    </row>
    <row r="30" customFormat="false" ht="36" hidden="false" customHeight="true" outlineLevel="0" collapsed="false">
      <c r="A30" s="7" t="n">
        <v>26</v>
      </c>
      <c r="B30" s="7" t="n">
        <v>644</v>
      </c>
      <c r="C30" s="8" t="s">
        <v>304</v>
      </c>
      <c r="D30" s="7" t="s">
        <v>28</v>
      </c>
      <c r="E30" s="7" t="s">
        <v>284</v>
      </c>
      <c r="F30" s="7" t="s">
        <v>59</v>
      </c>
      <c r="G30" s="9" t="n">
        <v>34</v>
      </c>
      <c r="H30" s="7" t="s">
        <v>305</v>
      </c>
      <c r="I30" s="7" t="s">
        <v>306</v>
      </c>
      <c r="J30" s="7" t="s">
        <v>307</v>
      </c>
      <c r="K30" s="8" t="s">
        <v>308</v>
      </c>
      <c r="L30" s="8" t="s">
        <v>309</v>
      </c>
      <c r="M30" s="7" t="s">
        <v>310</v>
      </c>
      <c r="N30" s="8" t="s">
        <v>311</v>
      </c>
      <c r="O30" s="7" t="s">
        <v>312</v>
      </c>
      <c r="P30" s="8" t="s">
        <v>54</v>
      </c>
      <c r="Q30" s="8" t="s">
        <v>313</v>
      </c>
      <c r="R30" s="8" t="s">
        <v>41</v>
      </c>
      <c r="S30" s="7"/>
      <c r="T30" s="8" t="s">
        <v>42</v>
      </c>
      <c r="U30" s="7" t="n">
        <v>-30.29287</v>
      </c>
      <c r="V30" s="7" t="n">
        <v>-71.609261</v>
      </c>
      <c r="W30" s="8" t="s">
        <v>43</v>
      </c>
      <c r="X30" s="8" t="s">
        <v>44</v>
      </c>
      <c r="Y30" s="8"/>
    </row>
    <row r="31" customFormat="false" ht="36" hidden="false" customHeight="true" outlineLevel="0" collapsed="false">
      <c r="A31" s="4" t="n">
        <v>27</v>
      </c>
      <c r="B31" s="4" t="n">
        <v>643</v>
      </c>
      <c r="C31" s="5" t="s">
        <v>314</v>
      </c>
      <c r="D31" s="4" t="s">
        <v>28</v>
      </c>
      <c r="E31" s="4" t="s">
        <v>72</v>
      </c>
      <c r="F31" s="4" t="s">
        <v>59</v>
      </c>
      <c r="G31" s="6" t="n">
        <v>200</v>
      </c>
      <c r="H31" s="4" t="s">
        <v>315</v>
      </c>
      <c r="I31" s="4" t="s">
        <v>316</v>
      </c>
      <c r="J31" s="4" t="s">
        <v>317</v>
      </c>
      <c r="K31" s="5" t="s">
        <v>318</v>
      </c>
      <c r="L31" s="5" t="s">
        <v>319</v>
      </c>
      <c r="M31" s="4" t="s">
        <v>320</v>
      </c>
      <c r="N31" s="5" t="s">
        <v>321</v>
      </c>
      <c r="O31" s="4" t="s">
        <v>322</v>
      </c>
      <c r="P31" s="5" t="s">
        <v>39</v>
      </c>
      <c r="Q31" s="5" t="s">
        <v>323</v>
      </c>
      <c r="R31" s="5" t="s">
        <v>41</v>
      </c>
      <c r="S31" s="4"/>
      <c r="T31" s="5" t="s">
        <v>42</v>
      </c>
      <c r="U31" s="4" t="n">
        <v>-30.197321</v>
      </c>
      <c r="V31" s="4" t="n">
        <v>-71.223686</v>
      </c>
      <c r="W31" s="5" t="s">
        <v>43</v>
      </c>
      <c r="X31" s="5" t="s">
        <v>324</v>
      </c>
      <c r="Y31" s="5"/>
    </row>
    <row r="32" customFormat="false" ht="36" hidden="false" customHeight="true" outlineLevel="0" collapsed="false">
      <c r="A32" s="7" t="n">
        <v>28</v>
      </c>
      <c r="B32" s="7" t="n">
        <v>635</v>
      </c>
      <c r="C32" s="8" t="s">
        <v>325</v>
      </c>
      <c r="D32" s="7" t="s">
        <v>28</v>
      </c>
      <c r="E32" s="7" t="s">
        <v>284</v>
      </c>
      <c r="F32" s="7" t="s">
        <v>59</v>
      </c>
      <c r="G32" s="9" t="n">
        <v>17</v>
      </c>
      <c r="H32" s="7" t="s">
        <v>326</v>
      </c>
      <c r="I32" s="7" t="s">
        <v>327</v>
      </c>
      <c r="J32" s="7" t="s">
        <v>328</v>
      </c>
      <c r="K32" s="8" t="s">
        <v>329</v>
      </c>
      <c r="L32" s="8" t="s">
        <v>330</v>
      </c>
      <c r="M32" s="7" t="s">
        <v>331</v>
      </c>
      <c r="N32" s="8" t="s">
        <v>332</v>
      </c>
      <c r="O32" s="7" t="s">
        <v>333</v>
      </c>
      <c r="P32" s="8" t="s">
        <v>81</v>
      </c>
      <c r="Q32" s="8" t="s">
        <v>334</v>
      </c>
      <c r="R32" s="8" t="s">
        <v>41</v>
      </c>
      <c r="S32" s="7"/>
      <c r="T32" s="8" t="s">
        <v>42</v>
      </c>
      <c r="U32" s="7" t="n">
        <v>-30.064871</v>
      </c>
      <c r="V32" s="7" t="n">
        <v>-71.366211</v>
      </c>
      <c r="W32" s="8" t="s">
        <v>43</v>
      </c>
      <c r="X32" s="8" t="s">
        <v>44</v>
      </c>
      <c r="Y32" s="8" t="s">
        <v>335</v>
      </c>
    </row>
    <row r="33" customFormat="false" ht="36" hidden="false" customHeight="true" outlineLevel="0" collapsed="false">
      <c r="A33" s="4" t="n">
        <v>29</v>
      </c>
      <c r="B33" s="4" t="n">
        <v>642</v>
      </c>
      <c r="C33" s="5" t="s">
        <v>336</v>
      </c>
      <c r="D33" s="4" t="s">
        <v>28</v>
      </c>
      <c r="E33" s="4" t="s">
        <v>284</v>
      </c>
      <c r="F33" s="4" t="s">
        <v>59</v>
      </c>
      <c r="G33" s="6" t="n">
        <v>167</v>
      </c>
      <c r="H33" s="4" t="s">
        <v>337</v>
      </c>
      <c r="I33" s="4" t="s">
        <v>338</v>
      </c>
      <c r="J33" s="4" t="s">
        <v>339</v>
      </c>
      <c r="K33" s="5" t="s">
        <v>340</v>
      </c>
      <c r="L33" s="13" t="s">
        <v>51</v>
      </c>
      <c r="M33" s="4" t="s">
        <v>341</v>
      </c>
      <c r="N33" s="5" t="s">
        <v>342</v>
      </c>
      <c r="O33" s="4" t="s">
        <v>343</v>
      </c>
      <c r="P33" s="5" t="s">
        <v>81</v>
      </c>
      <c r="Q33" s="5" t="s">
        <v>344</v>
      </c>
      <c r="R33" s="5" t="s">
        <v>41</v>
      </c>
      <c r="S33" s="4"/>
      <c r="T33" s="5" t="s">
        <v>42</v>
      </c>
      <c r="U33" s="4" t="n">
        <v>-30.138849</v>
      </c>
      <c r="V33" s="4" t="n">
        <v>-71.215828</v>
      </c>
      <c r="W33" s="5" t="s">
        <v>43</v>
      </c>
      <c r="X33" s="5" t="s">
        <v>44</v>
      </c>
      <c r="Y33" s="5"/>
    </row>
    <row r="34" customFormat="false" ht="36" hidden="false" customHeight="true" outlineLevel="0" collapsed="false">
      <c r="A34" s="7" t="n">
        <v>30</v>
      </c>
      <c r="B34" s="7" t="n">
        <v>645</v>
      </c>
      <c r="C34" s="8" t="s">
        <v>345</v>
      </c>
      <c r="D34" s="7" t="s">
        <v>28</v>
      </c>
      <c r="E34" s="7" t="s">
        <v>284</v>
      </c>
      <c r="F34" s="7" t="s">
        <v>59</v>
      </c>
      <c r="G34" s="9" t="n">
        <v>14</v>
      </c>
      <c r="H34" s="7" t="s">
        <v>346</v>
      </c>
      <c r="I34" s="7" t="s">
        <v>276</v>
      </c>
      <c r="J34" s="7" t="s">
        <v>347</v>
      </c>
      <c r="K34" s="8" t="s">
        <v>348</v>
      </c>
      <c r="L34" s="8" t="s">
        <v>349</v>
      </c>
      <c r="M34" s="7" t="s">
        <v>188</v>
      </c>
      <c r="N34" s="8" t="s">
        <v>350</v>
      </c>
      <c r="O34" s="7" t="s">
        <v>351</v>
      </c>
      <c r="P34" s="8" t="s">
        <v>81</v>
      </c>
      <c r="Q34" s="8" t="s">
        <v>352</v>
      </c>
      <c r="R34" s="8" t="s">
        <v>41</v>
      </c>
      <c r="S34" s="7"/>
      <c r="T34" s="8" t="s">
        <v>42</v>
      </c>
      <c r="U34" s="7" t="n">
        <v>-30.34646</v>
      </c>
      <c r="V34" s="7" t="n">
        <v>-71.558617</v>
      </c>
      <c r="W34" s="8" t="s">
        <v>43</v>
      </c>
      <c r="X34" s="8" t="s">
        <v>44</v>
      </c>
      <c r="Y34" s="8" t="s">
        <v>335</v>
      </c>
    </row>
    <row r="35" customFormat="false" ht="36" hidden="false" customHeight="true" outlineLevel="0" collapsed="false">
      <c r="A35" s="4" t="n">
        <v>31</v>
      </c>
      <c r="B35" s="4" t="n">
        <v>639</v>
      </c>
      <c r="C35" s="5" t="s">
        <v>353</v>
      </c>
      <c r="D35" s="4" t="s">
        <v>28</v>
      </c>
      <c r="E35" s="4" t="s">
        <v>72</v>
      </c>
      <c r="F35" s="4" t="s">
        <v>59</v>
      </c>
      <c r="G35" s="6" t="n">
        <v>135</v>
      </c>
      <c r="H35" s="4" t="s">
        <v>354</v>
      </c>
      <c r="I35" s="4" t="s">
        <v>355</v>
      </c>
      <c r="J35" s="4" t="s">
        <v>356</v>
      </c>
      <c r="K35" s="5" t="s">
        <v>357</v>
      </c>
      <c r="L35" s="5" t="s">
        <v>358</v>
      </c>
      <c r="M35" s="4" t="s">
        <v>359</v>
      </c>
      <c r="N35" s="5" t="s">
        <v>360</v>
      </c>
      <c r="O35" s="4" t="s">
        <v>361</v>
      </c>
      <c r="P35" s="5" t="s">
        <v>39</v>
      </c>
      <c r="Q35" s="5" t="s">
        <v>362</v>
      </c>
      <c r="R35" s="5" t="s">
        <v>41</v>
      </c>
      <c r="S35" s="4"/>
      <c r="T35" s="5" t="s">
        <v>42</v>
      </c>
      <c r="U35" s="4" t="n">
        <v>-30.213289</v>
      </c>
      <c r="V35" s="4" t="n">
        <v>-71.257874</v>
      </c>
      <c r="W35" s="5" t="s">
        <v>43</v>
      </c>
      <c r="X35" s="5" t="s">
        <v>44</v>
      </c>
      <c r="Y35" s="5"/>
    </row>
    <row r="36" customFormat="false" ht="36" hidden="false" customHeight="true" outlineLevel="0" collapsed="false">
      <c r="A36" s="7" t="n">
        <v>32</v>
      </c>
      <c r="B36" s="7" t="n">
        <v>641</v>
      </c>
      <c r="C36" s="8" t="s">
        <v>363</v>
      </c>
      <c r="D36" s="7" t="s">
        <v>28</v>
      </c>
      <c r="E36" s="7" t="s">
        <v>284</v>
      </c>
      <c r="F36" s="7" t="s">
        <v>59</v>
      </c>
      <c r="G36" s="9" t="n">
        <v>24</v>
      </c>
      <c r="H36" s="7" t="s">
        <v>364</v>
      </c>
      <c r="I36" s="7" t="s">
        <v>365</v>
      </c>
      <c r="J36" s="7" t="s">
        <v>366</v>
      </c>
      <c r="K36" s="8" t="s">
        <v>367</v>
      </c>
      <c r="L36" s="8" t="s">
        <v>368</v>
      </c>
      <c r="M36" s="7" t="s">
        <v>369</v>
      </c>
      <c r="N36" s="8" t="s">
        <v>370</v>
      </c>
      <c r="O36" s="7" t="s">
        <v>371</v>
      </c>
      <c r="P36" s="8" t="s">
        <v>81</v>
      </c>
      <c r="Q36" s="8" t="s">
        <v>372</v>
      </c>
      <c r="R36" s="8" t="s">
        <v>41</v>
      </c>
      <c r="S36" s="7"/>
      <c r="T36" s="8" t="s">
        <v>42</v>
      </c>
      <c r="U36" s="7" t="n">
        <v>-30.27844</v>
      </c>
      <c r="V36" s="7" t="n">
        <v>-71.252502</v>
      </c>
      <c r="W36" s="8" t="s">
        <v>43</v>
      </c>
      <c r="X36" s="8" t="s">
        <v>373</v>
      </c>
      <c r="Y36" s="8" t="s">
        <v>335</v>
      </c>
    </row>
    <row r="37" customFormat="false" ht="36" hidden="false" customHeight="true" outlineLevel="0" collapsed="false">
      <c r="A37" s="4" t="n">
        <v>33</v>
      </c>
      <c r="B37" s="4" t="n">
        <v>13558</v>
      </c>
      <c r="C37" s="5" t="s">
        <v>374</v>
      </c>
      <c r="D37" s="4" t="s">
        <v>28</v>
      </c>
      <c r="E37" s="4" t="s">
        <v>375</v>
      </c>
      <c r="F37" s="4" t="s">
        <v>30</v>
      </c>
      <c r="G37" s="6" t="n">
        <v>592</v>
      </c>
      <c r="H37" s="4" t="s">
        <v>376</v>
      </c>
      <c r="I37" s="4" t="s">
        <v>377</v>
      </c>
      <c r="J37" s="4" t="s">
        <v>378</v>
      </c>
      <c r="K37" s="5" t="s">
        <v>379</v>
      </c>
      <c r="L37" s="5" t="s">
        <v>380</v>
      </c>
      <c r="M37" s="4" t="s">
        <v>147</v>
      </c>
      <c r="N37" s="5" t="s">
        <v>381</v>
      </c>
      <c r="O37" s="4" t="s">
        <v>382</v>
      </c>
      <c r="P37" s="5" t="s">
        <v>54</v>
      </c>
      <c r="Q37" s="5" t="s">
        <v>383</v>
      </c>
      <c r="R37" s="5" t="s">
        <v>41</v>
      </c>
      <c r="S37" s="4"/>
      <c r="T37" s="5" t="s">
        <v>42</v>
      </c>
      <c r="U37" s="4" t="n">
        <v>-29.970631</v>
      </c>
      <c r="V37" s="4" t="n">
        <v>-71.325447</v>
      </c>
      <c r="W37" s="5" t="s">
        <v>43</v>
      </c>
      <c r="X37" s="5" t="s">
        <v>384</v>
      </c>
      <c r="Y37" s="5" t="s">
        <v>84</v>
      </c>
    </row>
    <row r="38" customFormat="false" ht="36" hidden="false" customHeight="true" outlineLevel="0" collapsed="false">
      <c r="A38" s="7" t="n">
        <v>34</v>
      </c>
      <c r="B38" s="7" t="n">
        <v>13561</v>
      </c>
      <c r="C38" s="8" t="s">
        <v>385</v>
      </c>
      <c r="D38" s="7" t="s">
        <v>28</v>
      </c>
      <c r="E38" s="7" t="s">
        <v>386</v>
      </c>
      <c r="F38" s="7" t="s">
        <v>30</v>
      </c>
      <c r="G38" s="9" t="n">
        <v>519</v>
      </c>
      <c r="H38" s="7" t="s">
        <v>387</v>
      </c>
      <c r="I38" s="7" t="s">
        <v>388</v>
      </c>
      <c r="J38" s="7" t="s">
        <v>389</v>
      </c>
      <c r="K38" s="8" t="s">
        <v>390</v>
      </c>
      <c r="L38" s="8" t="s">
        <v>391</v>
      </c>
      <c r="M38" s="7" t="s">
        <v>147</v>
      </c>
      <c r="N38" s="8" t="s">
        <v>392</v>
      </c>
      <c r="O38" s="7" t="s">
        <v>393</v>
      </c>
      <c r="P38" s="8" t="s">
        <v>54</v>
      </c>
      <c r="Q38" s="8" t="s">
        <v>394</v>
      </c>
      <c r="R38" s="8" t="s">
        <v>41</v>
      </c>
      <c r="S38" s="7"/>
      <c r="T38" s="8" t="s">
        <v>42</v>
      </c>
      <c r="U38" s="7" t="n">
        <v>-29.990379</v>
      </c>
      <c r="V38" s="7" t="n">
        <v>-71.331596</v>
      </c>
      <c r="W38" s="8" t="s">
        <v>43</v>
      </c>
      <c r="X38" s="8" t="s">
        <v>83</v>
      </c>
      <c r="Y38" s="8"/>
    </row>
    <row r="39" customFormat="false" ht="36" hidden="false" customHeight="true" outlineLevel="0" collapsed="false">
      <c r="A39" s="4" t="n">
        <v>35</v>
      </c>
      <c r="B39" s="4" t="n">
        <v>609</v>
      </c>
      <c r="C39" s="5" t="s">
        <v>395</v>
      </c>
      <c r="D39" s="4" t="s">
        <v>28</v>
      </c>
      <c r="E39" s="4" t="s">
        <v>396</v>
      </c>
      <c r="F39" s="4" t="s">
        <v>30</v>
      </c>
      <c r="G39" s="6" t="n">
        <v>838</v>
      </c>
      <c r="H39" s="4" t="s">
        <v>397</v>
      </c>
      <c r="I39" s="4" t="s">
        <v>398</v>
      </c>
      <c r="J39" s="4" t="s">
        <v>399</v>
      </c>
      <c r="K39" s="5" t="s">
        <v>400</v>
      </c>
      <c r="L39" s="5" t="s">
        <v>401</v>
      </c>
      <c r="M39" s="4" t="s">
        <v>402</v>
      </c>
      <c r="N39" s="5" t="s">
        <v>403</v>
      </c>
      <c r="O39" s="4" t="s">
        <v>404</v>
      </c>
      <c r="P39" s="5" t="s">
        <v>54</v>
      </c>
      <c r="Q39" s="5" t="s">
        <v>405</v>
      </c>
      <c r="R39" s="5" t="s">
        <v>41</v>
      </c>
      <c r="S39" s="4" t="s">
        <v>406</v>
      </c>
      <c r="T39" s="5" t="s">
        <v>42</v>
      </c>
      <c r="U39" s="4" t="n">
        <v>-29.96055</v>
      </c>
      <c r="V39" s="4" t="n">
        <v>-71.340134</v>
      </c>
      <c r="W39" s="5" t="s">
        <v>43</v>
      </c>
      <c r="X39" s="5" t="s">
        <v>407</v>
      </c>
      <c r="Y39" s="5"/>
    </row>
    <row r="40" customFormat="false" ht="36" hidden="false" customHeight="true" outlineLevel="0" collapsed="false">
      <c r="A40" s="7" t="n">
        <v>36</v>
      </c>
      <c r="B40" s="7" t="n">
        <v>13461</v>
      </c>
      <c r="C40" s="8" t="s">
        <v>408</v>
      </c>
      <c r="D40" s="7" t="s">
        <v>28</v>
      </c>
      <c r="E40" s="7" t="s">
        <v>409</v>
      </c>
      <c r="F40" s="7" t="s">
        <v>30</v>
      </c>
      <c r="G40" s="9" t="n">
        <v>353</v>
      </c>
      <c r="H40" s="7" t="s">
        <v>410</v>
      </c>
      <c r="I40" s="7" t="s">
        <v>411</v>
      </c>
      <c r="J40" s="7" t="s">
        <v>412</v>
      </c>
      <c r="K40" s="8" t="s">
        <v>413</v>
      </c>
      <c r="L40" s="8" t="s">
        <v>414</v>
      </c>
      <c r="M40" s="7" t="s">
        <v>415</v>
      </c>
      <c r="N40" s="8" t="s">
        <v>416</v>
      </c>
      <c r="O40" s="7" t="s">
        <v>417</v>
      </c>
      <c r="P40" s="8" t="s">
        <v>81</v>
      </c>
      <c r="Q40" s="8" t="s">
        <v>418</v>
      </c>
      <c r="R40" s="8" t="s">
        <v>41</v>
      </c>
      <c r="S40" s="7"/>
      <c r="T40" s="8" t="s">
        <v>42</v>
      </c>
      <c r="U40" s="7" t="n">
        <v>-30.26264</v>
      </c>
      <c r="V40" s="7" t="n">
        <v>-71.493401</v>
      </c>
      <c r="W40" s="8" t="s">
        <v>43</v>
      </c>
      <c r="X40" s="8" t="s">
        <v>83</v>
      </c>
      <c r="Y40" s="8"/>
    </row>
    <row r="41" customFormat="false" ht="36" hidden="false" customHeight="true" outlineLevel="0" collapsed="false">
      <c r="A41" s="4" t="n">
        <v>37</v>
      </c>
      <c r="B41" s="4" t="n">
        <v>611</v>
      </c>
      <c r="C41" s="5" t="s">
        <v>419</v>
      </c>
      <c r="D41" s="4" t="s">
        <v>28</v>
      </c>
      <c r="E41" s="4" t="s">
        <v>409</v>
      </c>
      <c r="F41" s="4" t="s">
        <v>30</v>
      </c>
      <c r="G41" s="6" t="n">
        <v>474</v>
      </c>
      <c r="H41" s="4" t="s">
        <v>420</v>
      </c>
      <c r="I41" s="4" t="s">
        <v>421</v>
      </c>
      <c r="J41" s="4" t="s">
        <v>422</v>
      </c>
      <c r="K41" s="5" t="s">
        <v>423</v>
      </c>
      <c r="L41" s="5" t="s">
        <v>424</v>
      </c>
      <c r="M41" s="4" t="s">
        <v>425</v>
      </c>
      <c r="N41" s="5" t="s">
        <v>426</v>
      </c>
      <c r="O41" s="4" t="s">
        <v>427</v>
      </c>
      <c r="P41" s="5" t="s">
        <v>39</v>
      </c>
      <c r="Q41" s="5" t="s">
        <v>428</v>
      </c>
      <c r="R41" s="5" t="s">
        <v>41</v>
      </c>
      <c r="S41" s="4"/>
      <c r="T41" s="5" t="s">
        <v>42</v>
      </c>
      <c r="U41" s="4" t="n">
        <v>-29.95303</v>
      </c>
      <c r="V41" s="4" t="n">
        <v>-71.337021</v>
      </c>
      <c r="W41" s="5" t="s">
        <v>43</v>
      </c>
      <c r="X41" s="5" t="s">
        <v>83</v>
      </c>
      <c r="Y41" s="5" t="s">
        <v>84</v>
      </c>
    </row>
    <row r="42" customFormat="false" ht="36" hidden="false" customHeight="true" outlineLevel="0" collapsed="false">
      <c r="A42" s="7" t="n">
        <v>38</v>
      </c>
      <c r="B42" s="7" t="n">
        <v>11139</v>
      </c>
      <c r="C42" s="8" t="s">
        <v>429</v>
      </c>
      <c r="D42" s="7" t="s">
        <v>28</v>
      </c>
      <c r="E42" s="7" t="s">
        <v>396</v>
      </c>
      <c r="F42" s="7" t="s">
        <v>30</v>
      </c>
      <c r="G42" s="9" t="n">
        <v>675</v>
      </c>
      <c r="H42" s="7" t="s">
        <v>430</v>
      </c>
      <c r="I42" s="7" t="s">
        <v>431</v>
      </c>
      <c r="J42" s="7" t="s">
        <v>432</v>
      </c>
      <c r="K42" s="8" t="s">
        <v>433</v>
      </c>
      <c r="L42" s="8" t="s">
        <v>434</v>
      </c>
      <c r="M42" s="7" t="s">
        <v>435</v>
      </c>
      <c r="N42" s="8" t="s">
        <v>436</v>
      </c>
      <c r="O42" s="7" t="s">
        <v>437</v>
      </c>
      <c r="P42" s="8" t="s">
        <v>54</v>
      </c>
      <c r="Q42" s="8" t="s">
        <v>438</v>
      </c>
      <c r="R42" s="8" t="s">
        <v>41</v>
      </c>
      <c r="S42" s="7" t="s">
        <v>439</v>
      </c>
      <c r="T42" s="8" t="s">
        <v>42</v>
      </c>
      <c r="U42" s="7" t="n">
        <v>-29.963869</v>
      </c>
      <c r="V42" s="7" t="n">
        <v>-71.254288</v>
      </c>
      <c r="W42" s="8" t="s">
        <v>43</v>
      </c>
      <c r="X42" s="8" t="s">
        <v>44</v>
      </c>
      <c r="Y42" s="8"/>
    </row>
    <row r="43" customFormat="false" ht="36" hidden="false" customHeight="true" outlineLevel="0" collapsed="false">
      <c r="A43" s="4" t="n">
        <v>39</v>
      </c>
      <c r="B43" s="4" t="n">
        <v>610</v>
      </c>
      <c r="C43" s="5" t="s">
        <v>440</v>
      </c>
      <c r="D43" s="4" t="s">
        <v>28</v>
      </c>
      <c r="E43" s="4" t="s">
        <v>396</v>
      </c>
      <c r="F43" s="4" t="s">
        <v>30</v>
      </c>
      <c r="G43" s="6" t="n">
        <v>583</v>
      </c>
      <c r="H43" s="4" t="s">
        <v>441</v>
      </c>
      <c r="I43" s="4" t="s">
        <v>442</v>
      </c>
      <c r="J43" s="4" t="s">
        <v>443</v>
      </c>
      <c r="K43" s="5" t="s">
        <v>444</v>
      </c>
      <c r="L43" s="5" t="s">
        <v>445</v>
      </c>
      <c r="M43" s="4" t="s">
        <v>446</v>
      </c>
      <c r="N43" s="5" t="s">
        <v>447</v>
      </c>
      <c r="O43" s="4" t="s">
        <v>448</v>
      </c>
      <c r="P43" s="5" t="s">
        <v>81</v>
      </c>
      <c r="Q43" s="5" t="s">
        <v>449</v>
      </c>
      <c r="R43" s="5" t="s">
        <v>41</v>
      </c>
      <c r="S43" s="4"/>
      <c r="T43" s="5" t="s">
        <v>42</v>
      </c>
      <c r="U43" s="4" t="n">
        <v>-29.96525</v>
      </c>
      <c r="V43" s="4" t="n">
        <v>-71.347221</v>
      </c>
      <c r="W43" s="5" t="s">
        <v>43</v>
      </c>
      <c r="X43" s="5" t="s">
        <v>44</v>
      </c>
      <c r="Y43" s="5"/>
    </row>
    <row r="44" customFormat="false" ht="24" hidden="false" customHeight="true" outlineLevel="0" collapsed="false">
      <c r="A44" s="7" t="n">
        <v>40</v>
      </c>
      <c r="B44" s="7"/>
      <c r="C44" s="8" t="s">
        <v>450</v>
      </c>
      <c r="D44" s="7" t="s">
        <v>451</v>
      </c>
      <c r="E44" s="7" t="s">
        <v>452</v>
      </c>
      <c r="F44" s="7" t="s">
        <v>30</v>
      </c>
      <c r="G44" s="9"/>
      <c r="H44" s="7" t="s">
        <v>453</v>
      </c>
      <c r="I44" s="7" t="s">
        <v>454</v>
      </c>
      <c r="J44" s="7" t="s">
        <v>455</v>
      </c>
      <c r="K44" s="8" t="s">
        <v>456</v>
      </c>
      <c r="L44" s="10" t="s">
        <v>51</v>
      </c>
      <c r="M44" s="11" t="s">
        <v>51</v>
      </c>
      <c r="N44" s="8"/>
      <c r="O44" s="7" t="s">
        <v>280</v>
      </c>
      <c r="P44" s="8"/>
      <c r="Q44" s="8"/>
      <c r="R44" s="8"/>
      <c r="S44" s="7"/>
      <c r="T44" s="8" t="s">
        <v>457</v>
      </c>
      <c r="U44" s="7"/>
      <c r="V44" s="7"/>
      <c r="W44" s="8" t="s">
        <v>43</v>
      </c>
      <c r="X44" s="8"/>
      <c r="Y44" s="8"/>
    </row>
    <row r="45" customFormat="false" ht="24" hidden="false" customHeight="true" outlineLevel="0" collapsed="false">
      <c r="A45" s="4" t="n">
        <v>41</v>
      </c>
      <c r="B45" s="4"/>
      <c r="C45" s="5" t="s">
        <v>458</v>
      </c>
      <c r="D45" s="4" t="s">
        <v>451</v>
      </c>
      <c r="E45" s="4" t="s">
        <v>452</v>
      </c>
      <c r="F45" s="4" t="s">
        <v>30</v>
      </c>
      <c r="G45" s="6"/>
      <c r="H45" s="4" t="s">
        <v>459</v>
      </c>
      <c r="I45" s="4" t="s">
        <v>460</v>
      </c>
      <c r="J45" s="4" t="s">
        <v>461</v>
      </c>
      <c r="K45" s="5" t="s">
        <v>433</v>
      </c>
      <c r="L45" s="13" t="s">
        <v>51</v>
      </c>
      <c r="M45" s="12" t="s">
        <v>51</v>
      </c>
      <c r="N45" s="5"/>
      <c r="O45" s="4" t="s">
        <v>280</v>
      </c>
      <c r="P45" s="5"/>
      <c r="Q45" s="5"/>
      <c r="R45" s="5"/>
      <c r="S45" s="4"/>
      <c r="T45" s="5" t="s">
        <v>457</v>
      </c>
      <c r="U45" s="4"/>
      <c r="V45" s="4"/>
      <c r="W45" s="5" t="s">
        <v>43</v>
      </c>
      <c r="X45" s="5"/>
      <c r="Y45" s="5"/>
    </row>
    <row r="46" customFormat="false" ht="24" hidden="false" customHeight="true" outlineLevel="0" collapsed="false">
      <c r="A46" s="7" t="n">
        <v>42</v>
      </c>
      <c r="B46" s="7"/>
      <c r="C46" s="8" t="s">
        <v>462</v>
      </c>
      <c r="D46" s="7" t="s">
        <v>451</v>
      </c>
      <c r="E46" s="7" t="s">
        <v>452</v>
      </c>
      <c r="F46" s="7" t="s">
        <v>30</v>
      </c>
      <c r="G46" s="9"/>
      <c r="H46" s="7" t="s">
        <v>463</v>
      </c>
      <c r="I46" s="7" t="s">
        <v>464</v>
      </c>
      <c r="J46" s="7" t="s">
        <v>465</v>
      </c>
      <c r="K46" s="8" t="s">
        <v>466</v>
      </c>
      <c r="L46" s="10" t="s">
        <v>51</v>
      </c>
      <c r="M46" s="11" t="s">
        <v>51</v>
      </c>
      <c r="N46" s="8"/>
      <c r="O46" s="7" t="s">
        <v>280</v>
      </c>
      <c r="P46" s="8"/>
      <c r="Q46" s="8"/>
      <c r="R46" s="8"/>
      <c r="S46" s="7"/>
      <c r="T46" s="8" t="s">
        <v>457</v>
      </c>
      <c r="U46" s="7"/>
      <c r="V46" s="7"/>
      <c r="W46" s="8" t="s">
        <v>43</v>
      </c>
      <c r="X46" s="8"/>
      <c r="Y46" s="8"/>
    </row>
    <row r="47" customFormat="false" ht="24" hidden="false" customHeight="true" outlineLevel="0" collapsed="false">
      <c r="A47" s="4" t="n">
        <v>43</v>
      </c>
      <c r="B47" s="4"/>
      <c r="C47" s="5" t="s">
        <v>467</v>
      </c>
      <c r="D47" s="4" t="s">
        <v>451</v>
      </c>
      <c r="E47" s="4" t="s">
        <v>452</v>
      </c>
      <c r="F47" s="4" t="s">
        <v>30</v>
      </c>
      <c r="G47" s="6"/>
      <c r="H47" s="4" t="s">
        <v>468</v>
      </c>
      <c r="I47" s="4" t="s">
        <v>469</v>
      </c>
      <c r="J47" s="4" t="s">
        <v>470</v>
      </c>
      <c r="K47" s="5" t="s">
        <v>198</v>
      </c>
      <c r="L47" s="13" t="s">
        <v>51</v>
      </c>
      <c r="M47" s="12" t="s">
        <v>51</v>
      </c>
      <c r="N47" s="5"/>
      <c r="O47" s="4" t="s">
        <v>280</v>
      </c>
      <c r="P47" s="5"/>
      <c r="Q47" s="5"/>
      <c r="R47" s="5"/>
      <c r="S47" s="4"/>
      <c r="T47" s="5" t="s">
        <v>457</v>
      </c>
      <c r="U47" s="4"/>
      <c r="V47" s="4"/>
      <c r="W47" s="5" t="s">
        <v>43</v>
      </c>
      <c r="X47" s="5"/>
      <c r="Y47" s="5"/>
    </row>
    <row r="48" customFormat="false" ht="24" hidden="false" customHeight="true" outlineLevel="0" collapsed="false">
      <c r="A48" s="7" t="n">
        <v>44</v>
      </c>
      <c r="B48" s="7"/>
      <c r="C48" s="8" t="s">
        <v>471</v>
      </c>
      <c r="D48" s="7" t="s">
        <v>451</v>
      </c>
      <c r="E48" s="7" t="s">
        <v>452</v>
      </c>
      <c r="F48" s="7" t="s">
        <v>30</v>
      </c>
      <c r="G48" s="9"/>
      <c r="H48" s="7" t="s">
        <v>472</v>
      </c>
      <c r="I48" s="7" t="s">
        <v>473</v>
      </c>
      <c r="J48" s="7" t="s">
        <v>474</v>
      </c>
      <c r="K48" s="8" t="s">
        <v>475</v>
      </c>
      <c r="L48" s="10" t="s">
        <v>51</v>
      </c>
      <c r="M48" s="11" t="s">
        <v>51</v>
      </c>
      <c r="N48" s="8"/>
      <c r="O48" s="7" t="s">
        <v>280</v>
      </c>
      <c r="P48" s="8"/>
      <c r="Q48" s="8"/>
      <c r="R48" s="8"/>
      <c r="S48" s="7"/>
      <c r="T48" s="8" t="s">
        <v>457</v>
      </c>
      <c r="U48" s="7"/>
      <c r="V48" s="7"/>
      <c r="W48" s="8" t="s">
        <v>43</v>
      </c>
      <c r="X48" s="8"/>
      <c r="Y48" s="8" t="s">
        <v>476</v>
      </c>
    </row>
    <row r="49" customFormat="false" ht="24" hidden="false" customHeight="true" outlineLevel="0" collapsed="false">
      <c r="A49" s="4" t="n">
        <v>45</v>
      </c>
      <c r="B49" s="4"/>
      <c r="C49" s="5" t="s">
        <v>477</v>
      </c>
      <c r="D49" s="4" t="s">
        <v>451</v>
      </c>
      <c r="E49" s="4" t="s">
        <v>452</v>
      </c>
      <c r="F49" s="4" t="s">
        <v>30</v>
      </c>
      <c r="G49" s="6"/>
      <c r="H49" s="4" t="s">
        <v>478</v>
      </c>
      <c r="I49" s="4" t="s">
        <v>479</v>
      </c>
      <c r="J49" s="4" t="s">
        <v>480</v>
      </c>
      <c r="K49" s="5" t="s">
        <v>481</v>
      </c>
      <c r="L49" s="13" t="s">
        <v>51</v>
      </c>
      <c r="M49" s="12" t="s">
        <v>51</v>
      </c>
      <c r="N49" s="5"/>
      <c r="O49" s="4" t="s">
        <v>280</v>
      </c>
      <c r="P49" s="5"/>
      <c r="Q49" s="5"/>
      <c r="R49" s="5"/>
      <c r="S49" s="4"/>
      <c r="T49" s="5" t="s">
        <v>457</v>
      </c>
      <c r="U49" s="4"/>
      <c r="V49" s="4"/>
      <c r="W49" s="5" t="s">
        <v>43</v>
      </c>
      <c r="X49" s="5"/>
      <c r="Y49" s="5"/>
    </row>
    <row r="50" customFormat="false" ht="24" hidden="false" customHeight="true" outlineLevel="0" collapsed="false">
      <c r="A50" s="7" t="n">
        <v>46</v>
      </c>
      <c r="B50" s="7"/>
      <c r="C50" s="8" t="s">
        <v>482</v>
      </c>
      <c r="D50" s="7" t="s">
        <v>451</v>
      </c>
      <c r="E50" s="7" t="s">
        <v>452</v>
      </c>
      <c r="F50" s="7" t="s">
        <v>59</v>
      </c>
      <c r="G50" s="9"/>
      <c r="H50" s="7" t="s">
        <v>483</v>
      </c>
      <c r="I50" s="7" t="s">
        <v>484</v>
      </c>
      <c r="J50" s="7" t="s">
        <v>485</v>
      </c>
      <c r="K50" s="8" t="s">
        <v>486</v>
      </c>
      <c r="L50" s="8" t="s">
        <v>487</v>
      </c>
      <c r="M50" s="7" t="s">
        <v>488</v>
      </c>
      <c r="N50" s="8"/>
      <c r="O50" s="7" t="s">
        <v>280</v>
      </c>
      <c r="P50" s="8"/>
      <c r="Q50" s="8"/>
      <c r="R50" s="8"/>
      <c r="S50" s="7"/>
      <c r="T50" s="8" t="s">
        <v>457</v>
      </c>
      <c r="U50" s="7"/>
      <c r="V50" s="7"/>
      <c r="W50" s="8" t="s">
        <v>43</v>
      </c>
      <c r="X50" s="8" t="s">
        <v>489</v>
      </c>
      <c r="Y50" s="8"/>
    </row>
    <row r="51" customFormat="false" ht="24" hidden="false" customHeight="true" outlineLevel="0" collapsed="false">
      <c r="A51" s="4" t="n">
        <v>47</v>
      </c>
      <c r="B51" s="4"/>
      <c r="C51" s="5" t="s">
        <v>490</v>
      </c>
      <c r="D51" s="4" t="s">
        <v>451</v>
      </c>
      <c r="E51" s="4" t="s">
        <v>452</v>
      </c>
      <c r="F51" s="4" t="s">
        <v>30</v>
      </c>
      <c r="G51" s="6"/>
      <c r="H51" s="4" t="s">
        <v>491</v>
      </c>
      <c r="I51" s="4" t="s">
        <v>492</v>
      </c>
      <c r="J51" s="4" t="s">
        <v>493</v>
      </c>
      <c r="K51" s="5" t="s">
        <v>494</v>
      </c>
      <c r="L51" s="13" t="s">
        <v>51</v>
      </c>
      <c r="M51" s="12" t="s">
        <v>51</v>
      </c>
      <c r="N51" s="5"/>
      <c r="O51" s="4" t="s">
        <v>280</v>
      </c>
      <c r="P51" s="5"/>
      <c r="Q51" s="5"/>
      <c r="R51" s="5"/>
      <c r="S51" s="4"/>
      <c r="T51" s="5" t="s">
        <v>457</v>
      </c>
      <c r="U51" s="4"/>
      <c r="V51" s="4"/>
      <c r="W51" s="5" t="s">
        <v>43</v>
      </c>
      <c r="X51" s="5"/>
      <c r="Y51" s="5"/>
    </row>
    <row r="52" customFormat="false" ht="24" hidden="false" customHeight="true" outlineLevel="0" collapsed="false">
      <c r="A52" s="7" t="n">
        <v>48</v>
      </c>
      <c r="B52" s="7"/>
      <c r="C52" s="8" t="s">
        <v>495</v>
      </c>
      <c r="D52" s="7" t="s">
        <v>451</v>
      </c>
      <c r="E52" s="7" t="s">
        <v>452</v>
      </c>
      <c r="F52" s="7" t="s">
        <v>30</v>
      </c>
      <c r="G52" s="9"/>
      <c r="H52" s="7" t="s">
        <v>496</v>
      </c>
      <c r="I52" s="11" t="s">
        <v>51</v>
      </c>
      <c r="J52" s="7" t="s">
        <v>497</v>
      </c>
      <c r="K52" s="8" t="s">
        <v>498</v>
      </c>
      <c r="L52" s="10" t="s">
        <v>51</v>
      </c>
      <c r="M52" s="11" t="s">
        <v>51</v>
      </c>
      <c r="N52" s="8"/>
      <c r="O52" s="7" t="s">
        <v>280</v>
      </c>
      <c r="P52" s="8"/>
      <c r="Q52" s="8"/>
      <c r="R52" s="8"/>
      <c r="S52" s="7"/>
      <c r="T52" s="8" t="s">
        <v>457</v>
      </c>
      <c r="U52" s="7"/>
      <c r="V52" s="7"/>
      <c r="W52" s="8" t="s">
        <v>43</v>
      </c>
      <c r="X52" s="8"/>
      <c r="Y52" s="8"/>
    </row>
    <row r="53" customFormat="false" ht="36" hidden="false" customHeight="true" outlineLevel="0" collapsed="false">
      <c r="A53" s="4" t="n">
        <v>49</v>
      </c>
      <c r="B53" s="4" t="n">
        <v>20505</v>
      </c>
      <c r="C53" s="5" t="s">
        <v>499</v>
      </c>
      <c r="D53" s="4" t="s">
        <v>500</v>
      </c>
      <c r="E53" s="4" t="s">
        <v>46</v>
      </c>
      <c r="F53" s="4" t="s">
        <v>30</v>
      </c>
      <c r="G53" s="6" t="n">
        <v>118</v>
      </c>
      <c r="H53" s="4" t="s">
        <v>501</v>
      </c>
      <c r="I53" s="4" t="s">
        <v>502</v>
      </c>
      <c r="J53" s="4" t="s">
        <v>503</v>
      </c>
      <c r="K53" s="5" t="s">
        <v>504</v>
      </c>
      <c r="L53" s="13" t="s">
        <v>51</v>
      </c>
      <c r="M53" s="4" t="s">
        <v>488</v>
      </c>
      <c r="N53" s="5" t="s">
        <v>505</v>
      </c>
      <c r="O53" s="14" t="s">
        <v>506</v>
      </c>
      <c r="P53" s="5"/>
      <c r="Q53" s="5"/>
      <c r="R53" s="5"/>
      <c r="S53" s="4" t="s">
        <v>507</v>
      </c>
      <c r="T53" s="5" t="s">
        <v>508</v>
      </c>
      <c r="U53" s="4" t="n">
        <v>-29.968593</v>
      </c>
      <c r="V53" s="4" t="n">
        <v>-71.337826</v>
      </c>
      <c r="W53" s="5" t="s">
        <v>281</v>
      </c>
      <c r="X53" s="5" t="s">
        <v>44</v>
      </c>
      <c r="Y53" s="5"/>
    </row>
    <row r="54" customFormat="false" ht="36" hidden="false" customHeight="true" outlineLevel="0" collapsed="false">
      <c r="A54" s="7" t="n">
        <v>50</v>
      </c>
      <c r="B54" s="7" t="n">
        <v>13396</v>
      </c>
      <c r="C54" s="8" t="s">
        <v>509</v>
      </c>
      <c r="D54" s="7" t="s">
        <v>500</v>
      </c>
      <c r="E54" s="7" t="s">
        <v>510</v>
      </c>
      <c r="F54" s="7" t="s">
        <v>30</v>
      </c>
      <c r="G54" s="9" t="n">
        <v>458</v>
      </c>
      <c r="H54" s="7" t="s">
        <v>511</v>
      </c>
      <c r="I54" s="7" t="s">
        <v>512</v>
      </c>
      <c r="J54" s="7" t="s">
        <v>513</v>
      </c>
      <c r="K54" s="8" t="s">
        <v>514</v>
      </c>
      <c r="L54" s="10" t="s">
        <v>51</v>
      </c>
      <c r="M54" s="11" t="s">
        <v>51</v>
      </c>
      <c r="N54" s="8" t="s">
        <v>515</v>
      </c>
      <c r="O54" s="14" t="s">
        <v>506</v>
      </c>
      <c r="P54" s="8"/>
      <c r="Q54" s="8"/>
      <c r="R54" s="8"/>
      <c r="S54" s="7" t="s">
        <v>516</v>
      </c>
      <c r="T54" s="8" t="s">
        <v>517</v>
      </c>
      <c r="U54" s="7" t="n">
        <v>-29.97386</v>
      </c>
      <c r="V54" s="7" t="n">
        <v>-71.335342</v>
      </c>
      <c r="W54" s="8" t="s">
        <v>281</v>
      </c>
      <c r="X54" s="8"/>
      <c r="Y54" s="8"/>
    </row>
    <row r="55" customFormat="false" ht="36" hidden="false" customHeight="true" outlineLevel="0" collapsed="false">
      <c r="A55" s="4" t="n">
        <v>51</v>
      </c>
      <c r="B55" s="4" t="n">
        <v>40400</v>
      </c>
      <c r="C55" s="5" t="s">
        <v>518</v>
      </c>
      <c r="D55" s="4" t="s">
        <v>500</v>
      </c>
      <c r="E55" s="4" t="s">
        <v>519</v>
      </c>
      <c r="F55" s="4" t="s">
        <v>30</v>
      </c>
      <c r="G55" s="6" t="n">
        <v>153</v>
      </c>
      <c r="H55" s="4" t="s">
        <v>520</v>
      </c>
      <c r="I55" s="4" t="s">
        <v>521</v>
      </c>
      <c r="J55" s="4" t="s">
        <v>522</v>
      </c>
      <c r="K55" s="5" t="s">
        <v>523</v>
      </c>
      <c r="L55" s="5" t="s">
        <v>524</v>
      </c>
      <c r="M55" s="4" t="s">
        <v>525</v>
      </c>
      <c r="N55" s="5" t="s">
        <v>526</v>
      </c>
      <c r="O55" s="14" t="s">
        <v>506</v>
      </c>
      <c r="P55" s="5"/>
      <c r="Q55" s="5"/>
      <c r="R55" s="5"/>
      <c r="S55" s="4" t="s">
        <v>527</v>
      </c>
      <c r="T55" s="5" t="s">
        <v>528</v>
      </c>
      <c r="U55" s="4" t="n">
        <v>-29.983809</v>
      </c>
      <c r="V55" s="4" t="n">
        <v>-71.34273</v>
      </c>
      <c r="W55" s="5" t="s">
        <v>281</v>
      </c>
      <c r="X55" s="5" t="s">
        <v>44</v>
      </c>
      <c r="Y55" s="5"/>
    </row>
    <row r="56" customFormat="false" ht="36" hidden="false" customHeight="true" outlineLevel="0" collapsed="false">
      <c r="A56" s="7" t="n">
        <v>52</v>
      </c>
      <c r="B56" s="7" t="n">
        <v>13528</v>
      </c>
      <c r="C56" s="8" t="s">
        <v>529</v>
      </c>
      <c r="D56" s="7" t="s">
        <v>500</v>
      </c>
      <c r="E56" s="7" t="s">
        <v>519</v>
      </c>
      <c r="F56" s="7" t="s">
        <v>30</v>
      </c>
      <c r="G56" s="9" t="n">
        <v>400</v>
      </c>
      <c r="H56" s="7" t="s">
        <v>530</v>
      </c>
      <c r="I56" s="7" t="s">
        <v>531</v>
      </c>
      <c r="J56" s="7" t="s">
        <v>532</v>
      </c>
      <c r="K56" s="8" t="s">
        <v>533</v>
      </c>
      <c r="L56" s="8" t="s">
        <v>534</v>
      </c>
      <c r="M56" s="7" t="s">
        <v>535</v>
      </c>
      <c r="N56" s="8" t="s">
        <v>536</v>
      </c>
      <c r="O56" s="14" t="s">
        <v>506</v>
      </c>
      <c r="P56" s="8"/>
      <c r="Q56" s="8"/>
      <c r="R56" s="8"/>
      <c r="S56" s="7" t="s">
        <v>537</v>
      </c>
      <c r="T56" s="8" t="s">
        <v>538</v>
      </c>
      <c r="U56" s="7" t="n">
        <v>-29.960712</v>
      </c>
      <c r="V56" s="7" t="n">
        <v>-71.34169</v>
      </c>
      <c r="W56" s="8" t="s">
        <v>281</v>
      </c>
      <c r="X56" s="8" t="s">
        <v>44</v>
      </c>
      <c r="Y56" s="8" t="s">
        <v>539</v>
      </c>
    </row>
    <row r="57" customFormat="false" ht="36" hidden="false" customHeight="true" outlineLevel="0" collapsed="false">
      <c r="A57" s="4" t="n">
        <v>53</v>
      </c>
      <c r="B57" s="4" t="n">
        <v>40076</v>
      </c>
      <c r="C57" s="5" t="s">
        <v>540</v>
      </c>
      <c r="D57" s="4" t="s">
        <v>500</v>
      </c>
      <c r="E57" s="4" t="s">
        <v>519</v>
      </c>
      <c r="F57" s="4" t="s">
        <v>30</v>
      </c>
      <c r="G57" s="6" t="n">
        <v>560</v>
      </c>
      <c r="H57" s="4" t="s">
        <v>541</v>
      </c>
      <c r="I57" s="4" t="s">
        <v>542</v>
      </c>
      <c r="J57" s="4" t="s">
        <v>543</v>
      </c>
      <c r="K57" s="5" t="s">
        <v>544</v>
      </c>
      <c r="L57" s="13" t="s">
        <v>51</v>
      </c>
      <c r="M57" s="12" t="s">
        <v>51</v>
      </c>
      <c r="N57" s="5" t="s">
        <v>545</v>
      </c>
      <c r="O57" s="14" t="s">
        <v>506</v>
      </c>
      <c r="P57" s="5"/>
      <c r="Q57" s="5"/>
      <c r="R57" s="5"/>
      <c r="S57" s="4" t="s">
        <v>546</v>
      </c>
      <c r="T57" s="5" t="s">
        <v>547</v>
      </c>
      <c r="U57" s="4" t="n">
        <v>-29.979357</v>
      </c>
      <c r="V57" s="4" t="n">
        <v>-71.31021</v>
      </c>
      <c r="W57" s="5" t="s">
        <v>281</v>
      </c>
      <c r="X57" s="5"/>
      <c r="Y57" s="5" t="s">
        <v>539</v>
      </c>
    </row>
    <row r="58" customFormat="false" ht="36" hidden="false" customHeight="true" outlineLevel="0" collapsed="false">
      <c r="A58" s="7" t="n">
        <v>54</v>
      </c>
      <c r="B58" s="7" t="n">
        <v>40064</v>
      </c>
      <c r="C58" s="8" t="s">
        <v>548</v>
      </c>
      <c r="D58" s="7" t="s">
        <v>500</v>
      </c>
      <c r="E58" s="7" t="s">
        <v>549</v>
      </c>
      <c r="F58" s="7" t="s">
        <v>30</v>
      </c>
      <c r="G58" s="9" t="n">
        <v>614</v>
      </c>
      <c r="H58" s="7" t="s">
        <v>550</v>
      </c>
      <c r="I58" s="7" t="s">
        <v>551</v>
      </c>
      <c r="J58" s="7" t="s">
        <v>552</v>
      </c>
      <c r="K58" s="8" t="s">
        <v>553</v>
      </c>
      <c r="L58" s="8" t="s">
        <v>554</v>
      </c>
      <c r="M58" s="7" t="s">
        <v>555</v>
      </c>
      <c r="N58" s="8" t="s">
        <v>556</v>
      </c>
      <c r="O58" s="14" t="s">
        <v>506</v>
      </c>
      <c r="P58" s="8"/>
      <c r="Q58" s="8"/>
      <c r="R58" s="8"/>
      <c r="S58" s="7" t="s">
        <v>557</v>
      </c>
      <c r="T58" s="8" t="s">
        <v>558</v>
      </c>
      <c r="U58" s="7" t="n">
        <v>-29.970329</v>
      </c>
      <c r="V58" s="7" t="n">
        <v>-71.310333</v>
      </c>
      <c r="W58" s="8" t="s">
        <v>281</v>
      </c>
      <c r="X58" s="8" t="s">
        <v>44</v>
      </c>
      <c r="Y58" s="8"/>
    </row>
    <row r="59" customFormat="false" ht="36" hidden="false" customHeight="true" outlineLevel="0" collapsed="false">
      <c r="A59" s="4" t="n">
        <v>55</v>
      </c>
      <c r="B59" s="4" t="n">
        <v>13491</v>
      </c>
      <c r="C59" s="5" t="s">
        <v>559</v>
      </c>
      <c r="D59" s="4" t="s">
        <v>500</v>
      </c>
      <c r="E59" s="4" t="s">
        <v>46</v>
      </c>
      <c r="F59" s="4" t="s">
        <v>30</v>
      </c>
      <c r="G59" s="6" t="n">
        <v>960</v>
      </c>
      <c r="H59" s="4" t="s">
        <v>560</v>
      </c>
      <c r="I59" s="4" t="s">
        <v>561</v>
      </c>
      <c r="J59" s="4" t="s">
        <v>562</v>
      </c>
      <c r="K59" s="5" t="s">
        <v>563</v>
      </c>
      <c r="L59" s="13" t="s">
        <v>51</v>
      </c>
      <c r="M59" s="4" t="s">
        <v>564</v>
      </c>
      <c r="N59" s="5" t="s">
        <v>565</v>
      </c>
      <c r="O59" s="14" t="s">
        <v>506</v>
      </c>
      <c r="P59" s="5"/>
      <c r="Q59" s="5"/>
      <c r="R59" s="5"/>
      <c r="S59" s="4" t="s">
        <v>566</v>
      </c>
      <c r="T59" s="5" t="s">
        <v>567</v>
      </c>
      <c r="U59" s="4" t="n">
        <v>-29.951099</v>
      </c>
      <c r="V59" s="4" t="n">
        <v>-71.266968</v>
      </c>
      <c r="W59" s="5" t="s">
        <v>281</v>
      </c>
      <c r="X59" s="5" t="s">
        <v>44</v>
      </c>
      <c r="Y59" s="5"/>
    </row>
    <row r="60" customFormat="false" ht="36" hidden="false" customHeight="true" outlineLevel="0" collapsed="false">
      <c r="A60" s="7" t="n">
        <v>56</v>
      </c>
      <c r="B60" s="7" t="n">
        <v>13518</v>
      </c>
      <c r="C60" s="8" t="s">
        <v>568</v>
      </c>
      <c r="D60" s="7" t="s">
        <v>500</v>
      </c>
      <c r="E60" s="7" t="s">
        <v>284</v>
      </c>
      <c r="F60" s="7" t="s">
        <v>30</v>
      </c>
      <c r="G60" s="9" t="n">
        <v>292</v>
      </c>
      <c r="H60" s="7" t="s">
        <v>569</v>
      </c>
      <c r="I60" s="7" t="s">
        <v>570</v>
      </c>
      <c r="J60" s="7" t="s">
        <v>571</v>
      </c>
      <c r="K60" s="8" t="s">
        <v>572</v>
      </c>
      <c r="L60" s="10" t="s">
        <v>51</v>
      </c>
      <c r="M60" s="7" t="s">
        <v>573</v>
      </c>
      <c r="N60" s="8" t="s">
        <v>574</v>
      </c>
      <c r="O60" s="14" t="s">
        <v>506</v>
      </c>
      <c r="P60" s="8"/>
      <c r="Q60" s="8"/>
      <c r="R60" s="8"/>
      <c r="S60" s="7"/>
      <c r="T60" s="8" t="s">
        <v>575</v>
      </c>
      <c r="U60" s="7" t="n">
        <v>-29.964081</v>
      </c>
      <c r="V60" s="7" t="n">
        <v>-71.255257</v>
      </c>
      <c r="W60" s="8" t="s">
        <v>281</v>
      </c>
      <c r="X60" s="8" t="s">
        <v>44</v>
      </c>
      <c r="Y60" s="8"/>
    </row>
    <row r="61" customFormat="false" ht="36" hidden="false" customHeight="true" outlineLevel="0" collapsed="false">
      <c r="A61" s="4" t="n">
        <v>57</v>
      </c>
      <c r="B61" s="4" t="n">
        <v>646</v>
      </c>
      <c r="C61" s="5" t="s">
        <v>576</v>
      </c>
      <c r="D61" s="4" t="s">
        <v>500</v>
      </c>
      <c r="E61" s="4" t="s">
        <v>58</v>
      </c>
      <c r="F61" s="4" t="s">
        <v>30</v>
      </c>
      <c r="G61" s="6" t="n">
        <v>1765</v>
      </c>
      <c r="H61" s="4" t="s">
        <v>577</v>
      </c>
      <c r="I61" s="4" t="s">
        <v>578</v>
      </c>
      <c r="J61" s="4" t="s">
        <v>579</v>
      </c>
      <c r="K61" s="5" t="s">
        <v>580</v>
      </c>
      <c r="L61" s="13" t="s">
        <v>51</v>
      </c>
      <c r="M61" s="12" t="s">
        <v>51</v>
      </c>
      <c r="N61" s="5" t="s">
        <v>581</v>
      </c>
      <c r="O61" s="14" t="s">
        <v>506</v>
      </c>
      <c r="P61" s="5"/>
      <c r="Q61" s="5"/>
      <c r="R61" s="5"/>
      <c r="S61" s="4" t="s">
        <v>582</v>
      </c>
      <c r="T61" s="5" t="s">
        <v>583</v>
      </c>
      <c r="U61" s="4" t="n">
        <v>-29.96076</v>
      </c>
      <c r="V61" s="4" t="n">
        <v>-71.337341</v>
      </c>
      <c r="W61" s="5" t="s">
        <v>281</v>
      </c>
      <c r="X61" s="5"/>
      <c r="Y61" s="5"/>
    </row>
    <row r="62" customFormat="false" ht="36" hidden="false" customHeight="true" outlineLevel="0" collapsed="false">
      <c r="A62" s="7" t="n">
        <v>58</v>
      </c>
      <c r="B62" s="7" t="n">
        <v>40189</v>
      </c>
      <c r="C62" s="8" t="s">
        <v>584</v>
      </c>
      <c r="D62" s="7" t="s">
        <v>500</v>
      </c>
      <c r="E62" s="7" t="s">
        <v>284</v>
      </c>
      <c r="F62" s="7" t="s">
        <v>30</v>
      </c>
      <c r="G62" s="9" t="n">
        <v>162</v>
      </c>
      <c r="H62" s="7" t="s">
        <v>585</v>
      </c>
      <c r="I62" s="7" t="s">
        <v>586</v>
      </c>
      <c r="J62" s="7" t="s">
        <v>587</v>
      </c>
      <c r="K62" s="8" t="s">
        <v>588</v>
      </c>
      <c r="L62" s="8" t="s">
        <v>589</v>
      </c>
      <c r="M62" s="7" t="s">
        <v>590</v>
      </c>
      <c r="N62" s="8" t="s">
        <v>591</v>
      </c>
      <c r="O62" s="14" t="s">
        <v>506</v>
      </c>
      <c r="P62" s="8"/>
      <c r="Q62" s="8"/>
      <c r="R62" s="8"/>
      <c r="S62" s="7" t="s">
        <v>592</v>
      </c>
      <c r="T62" s="8" t="s">
        <v>593</v>
      </c>
      <c r="U62" s="7" t="n">
        <v>-29.95648</v>
      </c>
      <c r="V62" s="7" t="n">
        <v>-71.343193</v>
      </c>
      <c r="W62" s="8" t="s">
        <v>281</v>
      </c>
      <c r="X62" s="8" t="s">
        <v>44</v>
      </c>
      <c r="Y62" s="8"/>
    </row>
    <row r="63" customFormat="false" ht="36" hidden="false" customHeight="true" outlineLevel="0" collapsed="false">
      <c r="A63" s="4" t="n">
        <v>59</v>
      </c>
      <c r="B63" s="4" t="n">
        <v>13314</v>
      </c>
      <c r="C63" s="5" t="s">
        <v>594</v>
      </c>
      <c r="D63" s="4" t="s">
        <v>500</v>
      </c>
      <c r="E63" s="4" t="s">
        <v>46</v>
      </c>
      <c r="F63" s="4" t="s">
        <v>30</v>
      </c>
      <c r="G63" s="6" t="n">
        <v>924</v>
      </c>
      <c r="H63" s="4" t="s">
        <v>595</v>
      </c>
      <c r="I63" s="4" t="s">
        <v>596</v>
      </c>
      <c r="J63" s="4" t="s">
        <v>597</v>
      </c>
      <c r="K63" s="5" t="s">
        <v>598</v>
      </c>
      <c r="L63" s="13" t="s">
        <v>51</v>
      </c>
      <c r="M63" s="4" t="s">
        <v>599</v>
      </c>
      <c r="N63" s="5" t="s">
        <v>600</v>
      </c>
      <c r="O63" s="14" t="s">
        <v>506</v>
      </c>
      <c r="P63" s="5"/>
      <c r="Q63" s="5"/>
      <c r="R63" s="5"/>
      <c r="S63" s="4" t="s">
        <v>601</v>
      </c>
      <c r="T63" s="5" t="s">
        <v>602</v>
      </c>
      <c r="U63" s="4" t="n">
        <v>-29.99188</v>
      </c>
      <c r="V63" s="4" t="n">
        <v>-71.330429</v>
      </c>
      <c r="W63" s="5" t="s">
        <v>281</v>
      </c>
      <c r="X63" s="5" t="s">
        <v>44</v>
      </c>
      <c r="Y63" s="5"/>
    </row>
    <row r="64" customFormat="false" ht="36" hidden="false" customHeight="true" outlineLevel="0" collapsed="false">
      <c r="A64" s="7" t="n">
        <v>60</v>
      </c>
      <c r="B64" s="7" t="n">
        <v>13621</v>
      </c>
      <c r="C64" s="8" t="s">
        <v>603</v>
      </c>
      <c r="D64" s="7" t="s">
        <v>500</v>
      </c>
      <c r="E64" s="7" t="s">
        <v>46</v>
      </c>
      <c r="F64" s="7" t="s">
        <v>30</v>
      </c>
      <c r="G64" s="9" t="n">
        <v>504</v>
      </c>
      <c r="H64" s="7" t="s">
        <v>604</v>
      </c>
      <c r="I64" s="7" t="s">
        <v>605</v>
      </c>
      <c r="J64" s="7" t="s">
        <v>606</v>
      </c>
      <c r="K64" s="8" t="s">
        <v>607</v>
      </c>
      <c r="L64" s="10" t="s">
        <v>51</v>
      </c>
      <c r="M64" s="7" t="s">
        <v>608</v>
      </c>
      <c r="N64" s="8" t="s">
        <v>609</v>
      </c>
      <c r="O64" s="14" t="s">
        <v>506</v>
      </c>
      <c r="P64" s="8"/>
      <c r="Q64" s="8"/>
      <c r="R64" s="8"/>
      <c r="S64" s="7" t="s">
        <v>610</v>
      </c>
      <c r="T64" s="8" t="s">
        <v>611</v>
      </c>
      <c r="U64" s="7" t="n">
        <v>-29.967319</v>
      </c>
      <c r="V64" s="7" t="n">
        <v>-71.344543</v>
      </c>
      <c r="W64" s="8" t="s">
        <v>281</v>
      </c>
      <c r="X64" s="8" t="s">
        <v>44</v>
      </c>
      <c r="Y64" s="8"/>
    </row>
    <row r="65" customFormat="false" ht="36" hidden="false" customHeight="true" outlineLevel="0" collapsed="false">
      <c r="A65" s="4" t="n">
        <v>61</v>
      </c>
      <c r="B65" s="4" t="n">
        <v>40033</v>
      </c>
      <c r="C65" s="5" t="s">
        <v>612</v>
      </c>
      <c r="D65" s="4" t="s">
        <v>500</v>
      </c>
      <c r="E65" s="4" t="s">
        <v>72</v>
      </c>
      <c r="F65" s="4" t="s">
        <v>30</v>
      </c>
      <c r="G65" s="6" t="n">
        <v>307</v>
      </c>
      <c r="H65" s="4" t="s">
        <v>613</v>
      </c>
      <c r="I65" s="4" t="s">
        <v>614</v>
      </c>
      <c r="J65" s="4" t="s">
        <v>615</v>
      </c>
      <c r="K65" s="5" t="s">
        <v>616</v>
      </c>
      <c r="L65" s="13" t="s">
        <v>51</v>
      </c>
      <c r="M65" s="12" t="s">
        <v>51</v>
      </c>
      <c r="N65" s="5" t="s">
        <v>617</v>
      </c>
      <c r="O65" s="14" t="s">
        <v>506</v>
      </c>
      <c r="P65" s="5"/>
      <c r="Q65" s="5"/>
      <c r="R65" s="5"/>
      <c r="S65" s="4"/>
      <c r="T65" s="5" t="s">
        <v>618</v>
      </c>
      <c r="U65" s="4" t="n">
        <v>-29.961691</v>
      </c>
      <c r="V65" s="4" t="n">
        <v>-71.340477</v>
      </c>
      <c r="W65" s="5" t="s">
        <v>281</v>
      </c>
      <c r="X65" s="5"/>
      <c r="Y65" s="5"/>
    </row>
    <row r="66" customFormat="false" ht="36" hidden="false" customHeight="true" outlineLevel="0" collapsed="false">
      <c r="A66" s="7" t="n">
        <v>62</v>
      </c>
      <c r="B66" s="7" t="n">
        <v>13445</v>
      </c>
      <c r="C66" s="8" t="s">
        <v>619</v>
      </c>
      <c r="D66" s="7" t="s">
        <v>500</v>
      </c>
      <c r="E66" s="7" t="s">
        <v>620</v>
      </c>
      <c r="F66" s="7" t="s">
        <v>30</v>
      </c>
      <c r="G66" s="9" t="n">
        <v>170</v>
      </c>
      <c r="H66" s="7" t="s">
        <v>621</v>
      </c>
      <c r="I66" s="7" t="s">
        <v>622</v>
      </c>
      <c r="J66" s="7" t="s">
        <v>623</v>
      </c>
      <c r="K66" s="8" t="s">
        <v>624</v>
      </c>
      <c r="L66" s="8" t="s">
        <v>349</v>
      </c>
      <c r="M66" s="7" t="s">
        <v>625</v>
      </c>
      <c r="N66" s="8" t="s">
        <v>626</v>
      </c>
      <c r="O66" s="14" t="s">
        <v>506</v>
      </c>
      <c r="P66" s="8"/>
      <c r="Q66" s="8"/>
      <c r="R66" s="8"/>
      <c r="S66" s="7"/>
      <c r="T66" s="8" t="s">
        <v>627</v>
      </c>
      <c r="U66" s="7" t="n">
        <v>-29.966181</v>
      </c>
      <c r="V66" s="7" t="n">
        <v>-71.341133</v>
      </c>
      <c r="W66" s="8" t="s">
        <v>281</v>
      </c>
      <c r="X66" s="8" t="s">
        <v>44</v>
      </c>
      <c r="Y66" s="8"/>
    </row>
    <row r="67" customFormat="false" ht="36" hidden="false" customHeight="true" outlineLevel="0" collapsed="false">
      <c r="A67" s="4" t="n">
        <v>63</v>
      </c>
      <c r="B67" s="4" t="n">
        <v>13593</v>
      </c>
      <c r="C67" s="5" t="s">
        <v>628</v>
      </c>
      <c r="D67" s="4" t="s">
        <v>500</v>
      </c>
      <c r="E67" s="4" t="s">
        <v>72</v>
      </c>
      <c r="F67" s="4" t="s">
        <v>30</v>
      </c>
      <c r="G67" s="6" t="n">
        <v>340</v>
      </c>
      <c r="H67" s="4" t="s">
        <v>629</v>
      </c>
      <c r="I67" s="4" t="s">
        <v>630</v>
      </c>
      <c r="J67" s="4" t="s">
        <v>631</v>
      </c>
      <c r="K67" s="5" t="s">
        <v>632</v>
      </c>
      <c r="L67" s="5" t="s">
        <v>633</v>
      </c>
      <c r="M67" s="4" t="s">
        <v>415</v>
      </c>
      <c r="N67" s="5" t="s">
        <v>634</v>
      </c>
      <c r="O67" s="14" t="s">
        <v>506</v>
      </c>
      <c r="P67" s="5"/>
      <c r="Q67" s="5"/>
      <c r="R67" s="5"/>
      <c r="S67" s="4" t="s">
        <v>635</v>
      </c>
      <c r="T67" s="5" t="s">
        <v>636</v>
      </c>
      <c r="U67" s="4" t="n">
        <v>-29.997339</v>
      </c>
      <c r="V67" s="4" t="n">
        <v>-71.330879</v>
      </c>
      <c r="W67" s="5" t="s">
        <v>281</v>
      </c>
      <c r="X67" s="5" t="s">
        <v>44</v>
      </c>
      <c r="Y67" s="5"/>
    </row>
    <row r="68" customFormat="false" ht="36" hidden="false" customHeight="true" outlineLevel="0" collapsed="false">
      <c r="A68" s="7" t="n">
        <v>64</v>
      </c>
      <c r="B68" s="7" t="n">
        <v>13313</v>
      </c>
      <c r="C68" s="8" t="s">
        <v>637</v>
      </c>
      <c r="D68" s="7" t="s">
        <v>500</v>
      </c>
      <c r="E68" s="7" t="s">
        <v>46</v>
      </c>
      <c r="F68" s="7" t="s">
        <v>30</v>
      </c>
      <c r="G68" s="9" t="n">
        <v>2130</v>
      </c>
      <c r="H68" s="7" t="s">
        <v>638</v>
      </c>
      <c r="I68" s="7" t="s">
        <v>639</v>
      </c>
      <c r="J68" s="7" t="s">
        <v>640</v>
      </c>
      <c r="K68" s="8" t="s">
        <v>641</v>
      </c>
      <c r="L68" s="10" t="s">
        <v>51</v>
      </c>
      <c r="M68" s="7" t="s">
        <v>642</v>
      </c>
      <c r="N68" s="8" t="s">
        <v>643</v>
      </c>
      <c r="O68" s="14" t="s">
        <v>506</v>
      </c>
      <c r="P68" s="8"/>
      <c r="Q68" s="8"/>
      <c r="R68" s="8"/>
      <c r="S68" s="7" t="s">
        <v>644</v>
      </c>
      <c r="T68" s="8" t="s">
        <v>645</v>
      </c>
      <c r="U68" s="7" t="n">
        <v>-29.977051</v>
      </c>
      <c r="V68" s="7" t="n">
        <v>-71.34169</v>
      </c>
      <c r="W68" s="8" t="s">
        <v>281</v>
      </c>
      <c r="X68" s="8" t="s">
        <v>44</v>
      </c>
      <c r="Y68" s="8"/>
    </row>
    <row r="69" customFormat="false" ht="36" hidden="false" customHeight="true" outlineLevel="0" collapsed="false">
      <c r="A69" s="4" t="n">
        <v>65</v>
      </c>
      <c r="B69" s="4" t="n">
        <v>13608</v>
      </c>
      <c r="C69" s="5" t="s">
        <v>646</v>
      </c>
      <c r="D69" s="4" t="s">
        <v>500</v>
      </c>
      <c r="E69" s="4" t="s">
        <v>72</v>
      </c>
      <c r="F69" s="4" t="s">
        <v>30</v>
      </c>
      <c r="G69" s="6" t="n">
        <v>373</v>
      </c>
      <c r="H69" s="4" t="s">
        <v>647</v>
      </c>
      <c r="I69" s="4" t="s">
        <v>648</v>
      </c>
      <c r="J69" s="4" t="s">
        <v>649</v>
      </c>
      <c r="K69" s="5" t="s">
        <v>650</v>
      </c>
      <c r="L69" s="13" t="s">
        <v>51</v>
      </c>
      <c r="M69" s="4" t="s">
        <v>651</v>
      </c>
      <c r="N69" s="5" t="s">
        <v>652</v>
      </c>
      <c r="O69" s="14" t="s">
        <v>506</v>
      </c>
      <c r="P69" s="5"/>
      <c r="Q69" s="5"/>
      <c r="R69" s="5"/>
      <c r="S69" s="4" t="s">
        <v>653</v>
      </c>
      <c r="T69" s="5" t="s">
        <v>654</v>
      </c>
      <c r="U69" s="4" t="n">
        <v>-29.98847</v>
      </c>
      <c r="V69" s="4" t="n">
        <v>-71.332626</v>
      </c>
      <c r="W69" s="5" t="s">
        <v>281</v>
      </c>
      <c r="X69" s="5" t="s">
        <v>44</v>
      </c>
      <c r="Y69" s="5"/>
    </row>
    <row r="70" customFormat="false" ht="36" hidden="false" customHeight="true" outlineLevel="0" collapsed="false">
      <c r="A70" s="7" t="n">
        <v>66</v>
      </c>
      <c r="B70" s="7" t="n">
        <v>13637</v>
      </c>
      <c r="C70" s="8" t="s">
        <v>655</v>
      </c>
      <c r="D70" s="7" t="s">
        <v>500</v>
      </c>
      <c r="E70" s="7" t="s">
        <v>72</v>
      </c>
      <c r="F70" s="7" t="s">
        <v>30</v>
      </c>
      <c r="G70" s="9" t="n">
        <v>311</v>
      </c>
      <c r="H70" s="7" t="s">
        <v>656</v>
      </c>
      <c r="I70" s="7" t="s">
        <v>657</v>
      </c>
      <c r="J70" s="7" t="s">
        <v>658</v>
      </c>
      <c r="K70" s="8" t="s">
        <v>659</v>
      </c>
      <c r="L70" s="10" t="s">
        <v>51</v>
      </c>
      <c r="M70" s="11" t="s">
        <v>51</v>
      </c>
      <c r="N70" s="8" t="s">
        <v>660</v>
      </c>
      <c r="O70" s="14" t="s">
        <v>506</v>
      </c>
      <c r="P70" s="8"/>
      <c r="Q70" s="8"/>
      <c r="R70" s="8"/>
      <c r="S70" s="7" t="s">
        <v>661</v>
      </c>
      <c r="T70" s="8" t="s">
        <v>662</v>
      </c>
      <c r="U70" s="7" t="n">
        <v>-29.956511</v>
      </c>
      <c r="V70" s="7" t="n">
        <v>-71.277161</v>
      </c>
      <c r="W70" s="8" t="s">
        <v>281</v>
      </c>
      <c r="X70" s="8"/>
      <c r="Y70" s="8" t="s">
        <v>663</v>
      </c>
    </row>
    <row r="71" customFormat="false" ht="36" hidden="false" customHeight="true" outlineLevel="0" collapsed="false">
      <c r="A71" s="4" t="n">
        <v>67</v>
      </c>
      <c r="B71" s="4" t="n">
        <v>13632</v>
      </c>
      <c r="C71" s="5" t="s">
        <v>664</v>
      </c>
      <c r="D71" s="4" t="s">
        <v>500</v>
      </c>
      <c r="E71" s="4" t="s">
        <v>110</v>
      </c>
      <c r="F71" s="4" t="s">
        <v>30</v>
      </c>
      <c r="G71" s="6" t="n">
        <v>629</v>
      </c>
      <c r="H71" s="4" t="s">
        <v>665</v>
      </c>
      <c r="I71" s="4" t="s">
        <v>666</v>
      </c>
      <c r="J71" s="4" t="s">
        <v>667</v>
      </c>
      <c r="K71" s="5" t="s">
        <v>668</v>
      </c>
      <c r="L71" s="13" t="s">
        <v>51</v>
      </c>
      <c r="M71" s="4" t="s">
        <v>608</v>
      </c>
      <c r="N71" s="5" t="s">
        <v>669</v>
      </c>
      <c r="O71" s="14" t="s">
        <v>506</v>
      </c>
      <c r="P71" s="5"/>
      <c r="Q71" s="5"/>
      <c r="R71" s="5"/>
      <c r="S71" s="4" t="s">
        <v>670</v>
      </c>
      <c r="T71" s="5" t="s">
        <v>671</v>
      </c>
      <c r="U71" s="4" t="n">
        <v>-29.97299</v>
      </c>
      <c r="V71" s="4" t="n">
        <v>-71.254204</v>
      </c>
      <c r="W71" s="5" t="s">
        <v>281</v>
      </c>
      <c r="X71" s="5" t="s">
        <v>44</v>
      </c>
      <c r="Y71" s="5"/>
    </row>
    <row r="72" customFormat="false" ht="36" hidden="false" customHeight="true" outlineLevel="0" collapsed="false">
      <c r="A72" s="7" t="n">
        <v>68</v>
      </c>
      <c r="B72" s="7" t="n">
        <v>13612</v>
      </c>
      <c r="C72" s="8" t="s">
        <v>672</v>
      </c>
      <c r="D72" s="7" t="s">
        <v>500</v>
      </c>
      <c r="E72" s="7" t="s">
        <v>673</v>
      </c>
      <c r="F72" s="7" t="s">
        <v>30</v>
      </c>
      <c r="G72" s="9" t="n">
        <v>357</v>
      </c>
      <c r="H72" s="7" t="s">
        <v>674</v>
      </c>
      <c r="I72" s="7" t="s">
        <v>675</v>
      </c>
      <c r="J72" s="7" t="s">
        <v>676</v>
      </c>
      <c r="K72" s="8" t="s">
        <v>677</v>
      </c>
      <c r="L72" s="10" t="s">
        <v>51</v>
      </c>
      <c r="M72" s="11" t="s">
        <v>51</v>
      </c>
      <c r="N72" s="8" t="s">
        <v>678</v>
      </c>
      <c r="O72" s="14" t="s">
        <v>506</v>
      </c>
      <c r="P72" s="8"/>
      <c r="Q72" s="8"/>
      <c r="R72" s="8"/>
      <c r="S72" s="7" t="s">
        <v>679</v>
      </c>
      <c r="T72" s="8" t="s">
        <v>680</v>
      </c>
      <c r="U72" s="7" t="n">
        <v>-29.970831</v>
      </c>
      <c r="V72" s="7" t="n">
        <v>-71.331367</v>
      </c>
      <c r="W72" s="8" t="s">
        <v>281</v>
      </c>
      <c r="X72" s="8"/>
      <c r="Y72" s="8"/>
    </row>
    <row r="73" customFormat="false" ht="36" hidden="false" customHeight="true" outlineLevel="0" collapsed="false">
      <c r="A73" s="4" t="n">
        <v>69</v>
      </c>
      <c r="B73" s="4" t="n">
        <v>647</v>
      </c>
      <c r="C73" s="5" t="s">
        <v>681</v>
      </c>
      <c r="D73" s="4" t="s">
        <v>500</v>
      </c>
      <c r="E73" s="4" t="s">
        <v>386</v>
      </c>
      <c r="F73" s="4" t="s">
        <v>30</v>
      </c>
      <c r="G73" s="6" t="n">
        <v>485</v>
      </c>
      <c r="H73" s="4" t="s">
        <v>682</v>
      </c>
      <c r="I73" s="4" t="s">
        <v>683</v>
      </c>
      <c r="J73" s="4" t="s">
        <v>684</v>
      </c>
      <c r="K73" s="5" t="s">
        <v>685</v>
      </c>
      <c r="L73" s="13" t="s">
        <v>51</v>
      </c>
      <c r="M73" s="12" t="s">
        <v>51</v>
      </c>
      <c r="N73" s="5" t="s">
        <v>686</v>
      </c>
      <c r="O73" s="14" t="s">
        <v>506</v>
      </c>
      <c r="P73" s="5"/>
      <c r="Q73" s="5"/>
      <c r="R73" s="5"/>
      <c r="S73" s="4" t="s">
        <v>687</v>
      </c>
      <c r="T73" s="5" t="s">
        <v>688</v>
      </c>
      <c r="U73" s="4" t="n">
        <v>-29.999411</v>
      </c>
      <c r="V73" s="4" t="n">
        <v>-71.335777</v>
      </c>
      <c r="W73" s="5" t="s">
        <v>281</v>
      </c>
      <c r="X73" s="5"/>
      <c r="Y73" s="5" t="s">
        <v>689</v>
      </c>
    </row>
    <row r="74" customFormat="false" ht="36" hidden="false" customHeight="true" outlineLevel="0" collapsed="false">
      <c r="A74" s="7" t="n">
        <v>70</v>
      </c>
      <c r="B74" s="7" t="n">
        <v>13489</v>
      </c>
      <c r="C74" s="8" t="s">
        <v>690</v>
      </c>
      <c r="D74" s="7" t="s">
        <v>500</v>
      </c>
      <c r="E74" s="7" t="s">
        <v>46</v>
      </c>
      <c r="F74" s="7" t="s">
        <v>30</v>
      </c>
      <c r="G74" s="9" t="n">
        <v>963</v>
      </c>
      <c r="H74" s="7" t="s">
        <v>691</v>
      </c>
      <c r="I74" s="7" t="s">
        <v>692</v>
      </c>
      <c r="J74" s="7" t="s">
        <v>693</v>
      </c>
      <c r="K74" s="8" t="s">
        <v>694</v>
      </c>
      <c r="L74" s="10" t="s">
        <v>51</v>
      </c>
      <c r="M74" s="11" t="s">
        <v>51</v>
      </c>
      <c r="N74" s="8" t="s">
        <v>695</v>
      </c>
      <c r="O74" s="14" t="s">
        <v>506</v>
      </c>
      <c r="P74" s="8"/>
      <c r="Q74" s="8"/>
      <c r="R74" s="8"/>
      <c r="S74" s="7" t="s">
        <v>696</v>
      </c>
      <c r="T74" s="8" t="s">
        <v>697</v>
      </c>
      <c r="U74" s="7" t="n">
        <v>-29.97242</v>
      </c>
      <c r="V74" s="7" t="n">
        <v>-71.256821</v>
      </c>
      <c r="W74" s="8" t="s">
        <v>281</v>
      </c>
      <c r="X74" s="8"/>
      <c r="Y74" s="8"/>
    </row>
    <row r="75" customFormat="false" ht="36" hidden="false" customHeight="true" outlineLevel="0" collapsed="false">
      <c r="A75" s="4" t="n">
        <v>71</v>
      </c>
      <c r="B75" s="4" t="n">
        <v>13514</v>
      </c>
      <c r="C75" s="5" t="s">
        <v>698</v>
      </c>
      <c r="D75" s="4" t="s">
        <v>500</v>
      </c>
      <c r="E75" s="4" t="s">
        <v>72</v>
      </c>
      <c r="F75" s="4" t="s">
        <v>30</v>
      </c>
      <c r="G75" s="6" t="n">
        <v>394</v>
      </c>
      <c r="H75" s="4" t="s">
        <v>699</v>
      </c>
      <c r="I75" s="4" t="s">
        <v>700</v>
      </c>
      <c r="J75" s="4" t="s">
        <v>701</v>
      </c>
      <c r="K75" s="5" t="s">
        <v>702</v>
      </c>
      <c r="L75" s="13" t="s">
        <v>51</v>
      </c>
      <c r="M75" s="4" t="s">
        <v>703</v>
      </c>
      <c r="N75" s="5" t="s">
        <v>704</v>
      </c>
      <c r="O75" s="14" t="s">
        <v>506</v>
      </c>
      <c r="P75" s="5"/>
      <c r="Q75" s="5"/>
      <c r="R75" s="5"/>
      <c r="S75" s="4" t="s">
        <v>705</v>
      </c>
      <c r="T75" s="5" t="s">
        <v>706</v>
      </c>
      <c r="U75" s="4" t="n">
        <v>-29.957371</v>
      </c>
      <c r="V75" s="4" t="n">
        <v>-71.247704</v>
      </c>
      <c r="W75" s="5" t="s">
        <v>281</v>
      </c>
      <c r="X75" s="5" t="s">
        <v>44</v>
      </c>
      <c r="Y75" s="5"/>
    </row>
    <row r="76" customFormat="false" ht="36" hidden="false" customHeight="true" outlineLevel="0" collapsed="false">
      <c r="A76" s="7" t="n">
        <v>72</v>
      </c>
      <c r="B76" s="7" t="n">
        <v>650</v>
      </c>
      <c r="C76" s="8" t="s">
        <v>707</v>
      </c>
      <c r="D76" s="7" t="s">
        <v>500</v>
      </c>
      <c r="E76" s="7" t="s">
        <v>46</v>
      </c>
      <c r="F76" s="7" t="s">
        <v>30</v>
      </c>
      <c r="G76" s="9" t="n">
        <v>423</v>
      </c>
      <c r="H76" s="7" t="s">
        <v>708</v>
      </c>
      <c r="I76" s="7" t="s">
        <v>709</v>
      </c>
      <c r="J76" s="7" t="s">
        <v>710</v>
      </c>
      <c r="K76" s="8" t="s">
        <v>711</v>
      </c>
      <c r="L76" s="8" t="s">
        <v>712</v>
      </c>
      <c r="M76" s="7" t="s">
        <v>713</v>
      </c>
      <c r="N76" s="8" t="s">
        <v>714</v>
      </c>
      <c r="O76" s="14" t="s">
        <v>506</v>
      </c>
      <c r="P76" s="8"/>
      <c r="Q76" s="8"/>
      <c r="R76" s="8"/>
      <c r="S76" s="7" t="s">
        <v>715</v>
      </c>
      <c r="T76" s="8" t="s">
        <v>716</v>
      </c>
      <c r="U76" s="7" t="n">
        <v>-29.957479</v>
      </c>
      <c r="V76" s="7" t="n">
        <v>-71.343391</v>
      </c>
      <c r="W76" s="8" t="s">
        <v>281</v>
      </c>
      <c r="X76" s="8" t="s">
        <v>44</v>
      </c>
      <c r="Y76" s="8"/>
    </row>
    <row r="77" customFormat="false" ht="36" hidden="false" customHeight="true" outlineLevel="0" collapsed="false">
      <c r="A77" s="4" t="n">
        <v>73</v>
      </c>
      <c r="B77" s="4" t="n">
        <v>13525</v>
      </c>
      <c r="C77" s="5" t="s">
        <v>717</v>
      </c>
      <c r="D77" s="4" t="s">
        <v>500</v>
      </c>
      <c r="E77" s="4" t="s">
        <v>519</v>
      </c>
      <c r="F77" s="4" t="s">
        <v>30</v>
      </c>
      <c r="G77" s="6" t="n">
        <v>80</v>
      </c>
      <c r="H77" s="4" t="s">
        <v>718</v>
      </c>
      <c r="I77" s="4" t="s">
        <v>719</v>
      </c>
      <c r="J77" s="4" t="s">
        <v>720</v>
      </c>
      <c r="K77" s="5" t="s">
        <v>721</v>
      </c>
      <c r="L77" s="13" t="s">
        <v>51</v>
      </c>
      <c r="M77" s="12" t="s">
        <v>51</v>
      </c>
      <c r="N77" s="5" t="s">
        <v>722</v>
      </c>
      <c r="O77" s="14" t="s">
        <v>506</v>
      </c>
      <c r="P77" s="5"/>
      <c r="Q77" s="5"/>
      <c r="R77" s="5"/>
      <c r="S77" s="4" t="s">
        <v>723</v>
      </c>
      <c r="T77" s="5" t="s">
        <v>724</v>
      </c>
      <c r="U77" s="4" t="n">
        <v>-29.957752</v>
      </c>
      <c r="V77" s="4" t="n">
        <v>-71.25394</v>
      </c>
      <c r="W77" s="5" t="s">
        <v>281</v>
      </c>
      <c r="X77" s="5"/>
      <c r="Y77" s="5" t="s">
        <v>663</v>
      </c>
    </row>
    <row r="78" customFormat="false" ht="36" hidden="false" customHeight="true" outlineLevel="0" collapsed="false">
      <c r="A78" s="7" t="n">
        <v>74</v>
      </c>
      <c r="B78" s="7" t="n">
        <v>16913</v>
      </c>
      <c r="C78" s="8" t="s">
        <v>725</v>
      </c>
      <c r="D78" s="7" t="s">
        <v>500</v>
      </c>
      <c r="E78" s="7" t="s">
        <v>29</v>
      </c>
      <c r="F78" s="7" t="s">
        <v>30</v>
      </c>
      <c r="G78" s="9" t="n">
        <v>59</v>
      </c>
      <c r="H78" s="7" t="s">
        <v>726</v>
      </c>
      <c r="I78" s="7" t="s">
        <v>727</v>
      </c>
      <c r="J78" s="7" t="s">
        <v>728</v>
      </c>
      <c r="K78" s="8" t="s">
        <v>729</v>
      </c>
      <c r="L78" s="10" t="s">
        <v>51</v>
      </c>
      <c r="M78" s="7" t="s">
        <v>730</v>
      </c>
      <c r="N78" s="8" t="s">
        <v>731</v>
      </c>
      <c r="O78" s="7" t="s">
        <v>280</v>
      </c>
      <c r="P78" s="8"/>
      <c r="Q78" s="8"/>
      <c r="R78" s="8"/>
      <c r="S78" s="7"/>
      <c r="T78" s="8" t="s">
        <v>732</v>
      </c>
      <c r="U78" s="7" t="n">
        <v>-29.9868</v>
      </c>
      <c r="V78" s="7" t="n">
        <v>-71.36073</v>
      </c>
      <c r="W78" s="8" t="s">
        <v>281</v>
      </c>
      <c r="X78" s="8" t="s">
        <v>44</v>
      </c>
      <c r="Y78" s="8" t="s">
        <v>539</v>
      </c>
    </row>
    <row r="79" customFormat="false" ht="36" hidden="false" customHeight="true" outlineLevel="0" collapsed="false">
      <c r="A79" s="4" t="n">
        <v>75</v>
      </c>
      <c r="B79" s="4" t="n">
        <v>13341</v>
      </c>
      <c r="C79" s="5" t="s">
        <v>733</v>
      </c>
      <c r="D79" s="4" t="s">
        <v>500</v>
      </c>
      <c r="E79" s="4" t="s">
        <v>58</v>
      </c>
      <c r="F79" s="4" t="s">
        <v>30</v>
      </c>
      <c r="G79" s="6" t="n">
        <v>286</v>
      </c>
      <c r="H79" s="4" t="s">
        <v>734</v>
      </c>
      <c r="I79" s="4" t="s">
        <v>735</v>
      </c>
      <c r="J79" s="4" t="s">
        <v>736</v>
      </c>
      <c r="K79" s="5" t="s">
        <v>737</v>
      </c>
      <c r="L79" s="13" t="s">
        <v>51</v>
      </c>
      <c r="M79" s="4" t="s">
        <v>738</v>
      </c>
      <c r="N79" s="5" t="s">
        <v>739</v>
      </c>
      <c r="O79" s="14" t="s">
        <v>506</v>
      </c>
      <c r="P79" s="5"/>
      <c r="Q79" s="5"/>
      <c r="R79" s="5"/>
      <c r="S79" s="4" t="s">
        <v>740</v>
      </c>
      <c r="T79" s="5" t="s">
        <v>741</v>
      </c>
      <c r="U79" s="4" t="n">
        <v>-29.983101</v>
      </c>
      <c r="V79" s="4" t="n">
        <v>-71.334297</v>
      </c>
      <c r="W79" s="5" t="s">
        <v>281</v>
      </c>
      <c r="X79" s="5" t="s">
        <v>44</v>
      </c>
      <c r="Y79" s="5" t="s">
        <v>663</v>
      </c>
    </row>
    <row r="80" customFormat="false" ht="36" hidden="false" customHeight="true" outlineLevel="0" collapsed="false">
      <c r="A80" s="7" t="n">
        <v>76</v>
      </c>
      <c r="B80" s="7" t="n">
        <v>11145</v>
      </c>
      <c r="C80" s="8" t="s">
        <v>742</v>
      </c>
      <c r="D80" s="7" t="s">
        <v>500</v>
      </c>
      <c r="E80" s="7" t="s">
        <v>46</v>
      </c>
      <c r="F80" s="7" t="s">
        <v>30</v>
      </c>
      <c r="G80" s="9" t="n">
        <v>604</v>
      </c>
      <c r="H80" s="7" t="s">
        <v>743</v>
      </c>
      <c r="I80" s="7" t="s">
        <v>744</v>
      </c>
      <c r="J80" s="7" t="s">
        <v>745</v>
      </c>
      <c r="K80" s="8" t="s">
        <v>746</v>
      </c>
      <c r="L80" s="10" t="s">
        <v>51</v>
      </c>
      <c r="M80" s="11" t="s">
        <v>51</v>
      </c>
      <c r="N80" s="8" t="s">
        <v>747</v>
      </c>
      <c r="O80" s="14" t="s">
        <v>506</v>
      </c>
      <c r="P80" s="8"/>
      <c r="Q80" s="8"/>
      <c r="R80" s="8"/>
      <c r="S80" s="7" t="s">
        <v>748</v>
      </c>
      <c r="T80" s="8" t="s">
        <v>749</v>
      </c>
      <c r="U80" s="7" t="n">
        <v>-29.966249</v>
      </c>
      <c r="V80" s="7" t="n">
        <v>-71.256844</v>
      </c>
      <c r="W80" s="8" t="s">
        <v>281</v>
      </c>
      <c r="X80" s="8"/>
      <c r="Y80" s="8"/>
    </row>
    <row r="81" customFormat="false" ht="36" hidden="false" customHeight="true" outlineLevel="0" collapsed="false">
      <c r="A81" s="4" t="n">
        <v>77</v>
      </c>
      <c r="B81" s="4" t="n">
        <v>649</v>
      </c>
      <c r="C81" s="5" t="s">
        <v>750</v>
      </c>
      <c r="D81" s="4" t="s">
        <v>500</v>
      </c>
      <c r="E81" s="4" t="s">
        <v>46</v>
      </c>
      <c r="F81" s="4" t="s">
        <v>30</v>
      </c>
      <c r="G81" s="6" t="n">
        <v>1496</v>
      </c>
      <c r="H81" s="4" t="s">
        <v>751</v>
      </c>
      <c r="I81" s="4" t="s">
        <v>752</v>
      </c>
      <c r="J81" s="4" t="s">
        <v>753</v>
      </c>
      <c r="K81" s="5" t="s">
        <v>754</v>
      </c>
      <c r="L81" s="13" t="s">
        <v>51</v>
      </c>
      <c r="M81" s="12" t="s">
        <v>51</v>
      </c>
      <c r="N81" s="5" t="s">
        <v>755</v>
      </c>
      <c r="O81" s="14" t="s">
        <v>506</v>
      </c>
      <c r="P81" s="5"/>
      <c r="Q81" s="5"/>
      <c r="R81" s="5"/>
      <c r="S81" s="4" t="s">
        <v>756</v>
      </c>
      <c r="T81" s="5" t="s">
        <v>757</v>
      </c>
      <c r="U81" s="4" t="n">
        <v>-29.963671</v>
      </c>
      <c r="V81" s="4" t="n">
        <v>-71.339043</v>
      </c>
      <c r="W81" s="5" t="s">
        <v>281</v>
      </c>
      <c r="X81" s="5"/>
      <c r="Y81" s="5"/>
    </row>
    <row r="82" customFormat="false" ht="36" hidden="false" customHeight="true" outlineLevel="0" collapsed="false">
      <c r="A82" s="7" t="n">
        <v>78</v>
      </c>
      <c r="B82" s="7" t="n">
        <v>13373</v>
      </c>
      <c r="C82" s="8" t="s">
        <v>758</v>
      </c>
      <c r="D82" s="7" t="s">
        <v>500</v>
      </c>
      <c r="E82" s="7" t="s">
        <v>46</v>
      </c>
      <c r="F82" s="7" t="s">
        <v>30</v>
      </c>
      <c r="G82" s="9" t="n">
        <v>918</v>
      </c>
      <c r="H82" s="7" t="s">
        <v>759</v>
      </c>
      <c r="I82" s="7" t="s">
        <v>760</v>
      </c>
      <c r="J82" s="7" t="s">
        <v>761</v>
      </c>
      <c r="K82" s="8" t="s">
        <v>762</v>
      </c>
      <c r="L82" s="8" t="s">
        <v>763</v>
      </c>
      <c r="M82" s="7" t="s">
        <v>764</v>
      </c>
      <c r="N82" s="8" t="s">
        <v>765</v>
      </c>
      <c r="O82" s="14" t="s">
        <v>506</v>
      </c>
      <c r="P82" s="8"/>
      <c r="Q82" s="8"/>
      <c r="R82" s="8"/>
      <c r="S82" s="7" t="s">
        <v>766</v>
      </c>
      <c r="T82" s="8" t="s">
        <v>767</v>
      </c>
      <c r="U82" s="7" t="n">
        <v>-29.95256</v>
      </c>
      <c r="V82" s="7" t="n">
        <v>-71.270157</v>
      </c>
      <c r="W82" s="8" t="s">
        <v>281</v>
      </c>
      <c r="X82" s="8" t="s">
        <v>44</v>
      </c>
      <c r="Y82" s="8"/>
    </row>
    <row r="83" customFormat="false" ht="36" hidden="false" customHeight="true" outlineLevel="0" collapsed="false">
      <c r="A83" s="4" t="n">
        <v>79</v>
      </c>
      <c r="B83" s="4" t="n">
        <v>13342</v>
      </c>
      <c r="C83" s="5" t="s">
        <v>768</v>
      </c>
      <c r="D83" s="4" t="s">
        <v>500</v>
      </c>
      <c r="E83" s="4" t="s">
        <v>72</v>
      </c>
      <c r="F83" s="4" t="s">
        <v>30</v>
      </c>
      <c r="G83" s="6" t="n">
        <v>131</v>
      </c>
      <c r="H83" s="4" t="s">
        <v>769</v>
      </c>
      <c r="I83" s="4" t="s">
        <v>770</v>
      </c>
      <c r="J83" s="4" t="s">
        <v>771</v>
      </c>
      <c r="K83" s="5" t="s">
        <v>772</v>
      </c>
      <c r="L83" s="13" t="s">
        <v>51</v>
      </c>
      <c r="M83" s="12" t="s">
        <v>51</v>
      </c>
      <c r="N83" s="5" t="s">
        <v>773</v>
      </c>
      <c r="O83" s="14" t="s">
        <v>506</v>
      </c>
      <c r="P83" s="5"/>
      <c r="Q83" s="5"/>
      <c r="R83" s="5"/>
      <c r="S83" s="4" t="s">
        <v>774</v>
      </c>
      <c r="T83" s="5" t="s">
        <v>775</v>
      </c>
      <c r="U83" s="4" t="n">
        <v>-29.9601</v>
      </c>
      <c r="V83" s="4" t="n">
        <v>-71.343559</v>
      </c>
      <c r="W83" s="5" t="s">
        <v>281</v>
      </c>
      <c r="X83" s="5"/>
      <c r="Y83" s="5" t="s">
        <v>539</v>
      </c>
    </row>
    <row r="84" customFormat="false" ht="36" hidden="false" customHeight="true" outlineLevel="0" collapsed="false">
      <c r="A84" s="7" t="n">
        <v>80</v>
      </c>
      <c r="B84" s="7" t="n">
        <v>11133</v>
      </c>
      <c r="C84" s="8" t="s">
        <v>776</v>
      </c>
      <c r="D84" s="7" t="s">
        <v>500</v>
      </c>
      <c r="E84" s="7" t="s">
        <v>386</v>
      </c>
      <c r="F84" s="7" t="s">
        <v>30</v>
      </c>
      <c r="G84" s="9" t="n">
        <v>300</v>
      </c>
      <c r="H84" s="7" t="s">
        <v>777</v>
      </c>
      <c r="I84" s="7" t="s">
        <v>778</v>
      </c>
      <c r="J84" s="7" t="s">
        <v>779</v>
      </c>
      <c r="K84" s="8" t="s">
        <v>780</v>
      </c>
      <c r="L84" s="10" t="s">
        <v>51</v>
      </c>
      <c r="M84" s="11" t="s">
        <v>51</v>
      </c>
      <c r="N84" s="8" t="s">
        <v>781</v>
      </c>
      <c r="O84" s="14" t="s">
        <v>506</v>
      </c>
      <c r="P84" s="8"/>
      <c r="Q84" s="8"/>
      <c r="R84" s="8"/>
      <c r="S84" s="7"/>
      <c r="T84" s="8" t="s">
        <v>782</v>
      </c>
      <c r="U84" s="7" t="n">
        <v>-29.962021</v>
      </c>
      <c r="V84" s="7" t="n">
        <v>-71.339333</v>
      </c>
      <c r="W84" s="8" t="s">
        <v>281</v>
      </c>
      <c r="X84" s="8"/>
      <c r="Y84" s="8" t="s">
        <v>689</v>
      </c>
    </row>
    <row r="85" customFormat="false" ht="36" hidden="false" customHeight="true" outlineLevel="0" collapsed="false">
      <c r="A85" s="4" t="n">
        <v>81</v>
      </c>
      <c r="B85" s="4" t="n">
        <v>655</v>
      </c>
      <c r="C85" s="5" t="s">
        <v>783</v>
      </c>
      <c r="D85" s="4" t="s">
        <v>500</v>
      </c>
      <c r="E85" s="4" t="s">
        <v>72</v>
      </c>
      <c r="F85" s="4" t="s">
        <v>30</v>
      </c>
      <c r="G85" s="6" t="n">
        <v>404</v>
      </c>
      <c r="H85" s="4" t="s">
        <v>784</v>
      </c>
      <c r="I85" s="4" t="s">
        <v>785</v>
      </c>
      <c r="J85" s="4" t="s">
        <v>786</v>
      </c>
      <c r="K85" s="5" t="s">
        <v>787</v>
      </c>
      <c r="L85" s="5" t="s">
        <v>788</v>
      </c>
      <c r="M85" s="4" t="s">
        <v>789</v>
      </c>
      <c r="N85" s="5" t="s">
        <v>790</v>
      </c>
      <c r="O85" s="14" t="s">
        <v>506</v>
      </c>
      <c r="P85" s="5"/>
      <c r="Q85" s="5"/>
      <c r="R85" s="5"/>
      <c r="S85" s="4" t="s">
        <v>791</v>
      </c>
      <c r="T85" s="5" t="s">
        <v>792</v>
      </c>
      <c r="U85" s="4" t="n">
        <v>-29.98802</v>
      </c>
      <c r="V85" s="4" t="n">
        <v>-71.334671</v>
      </c>
      <c r="W85" s="5" t="s">
        <v>281</v>
      </c>
      <c r="X85" s="5" t="s">
        <v>44</v>
      </c>
      <c r="Y85" s="5"/>
    </row>
    <row r="86" customFormat="false" ht="36" hidden="false" customHeight="true" outlineLevel="0" collapsed="false">
      <c r="A86" s="7" t="n">
        <v>82</v>
      </c>
      <c r="B86" s="7" t="n">
        <v>13320</v>
      </c>
      <c r="C86" s="8" t="s">
        <v>793</v>
      </c>
      <c r="D86" s="7" t="s">
        <v>500</v>
      </c>
      <c r="E86" s="7" t="s">
        <v>284</v>
      </c>
      <c r="F86" s="7" t="s">
        <v>30</v>
      </c>
      <c r="G86" s="9" t="n">
        <v>79</v>
      </c>
      <c r="H86" s="7" t="s">
        <v>794</v>
      </c>
      <c r="I86" s="7" t="s">
        <v>795</v>
      </c>
      <c r="J86" s="7" t="s">
        <v>796</v>
      </c>
      <c r="K86" s="8" t="s">
        <v>797</v>
      </c>
      <c r="L86" s="10" t="s">
        <v>51</v>
      </c>
      <c r="M86" s="11" t="s">
        <v>51</v>
      </c>
      <c r="N86" s="8" t="s">
        <v>798</v>
      </c>
      <c r="O86" s="14" t="s">
        <v>506</v>
      </c>
      <c r="P86" s="8"/>
      <c r="Q86" s="8"/>
      <c r="R86" s="8"/>
      <c r="S86" s="7"/>
      <c r="T86" s="8" t="s">
        <v>799</v>
      </c>
      <c r="U86" s="7" t="n">
        <v>-30.260481</v>
      </c>
      <c r="V86" s="7" t="n">
        <v>-71.490852</v>
      </c>
      <c r="W86" s="8" t="s">
        <v>281</v>
      </c>
      <c r="X86" s="8"/>
      <c r="Y86" s="8"/>
    </row>
    <row r="87" customFormat="false" ht="36" hidden="false" customHeight="true" outlineLevel="0" collapsed="false">
      <c r="A87" s="4" t="n">
        <v>83</v>
      </c>
      <c r="B87" s="4" t="n">
        <v>13604</v>
      </c>
      <c r="C87" s="5" t="s">
        <v>800</v>
      </c>
      <c r="D87" s="4" t="s">
        <v>500</v>
      </c>
      <c r="E87" s="4" t="s">
        <v>46</v>
      </c>
      <c r="F87" s="4" t="s">
        <v>30</v>
      </c>
      <c r="G87" s="6" t="n">
        <v>590</v>
      </c>
      <c r="H87" s="4" t="s">
        <v>801</v>
      </c>
      <c r="I87" s="4" t="s">
        <v>802</v>
      </c>
      <c r="J87" s="4" t="s">
        <v>803</v>
      </c>
      <c r="K87" s="5" t="s">
        <v>804</v>
      </c>
      <c r="L87" s="13" t="s">
        <v>51</v>
      </c>
      <c r="M87" s="4" t="s">
        <v>651</v>
      </c>
      <c r="N87" s="5" t="s">
        <v>805</v>
      </c>
      <c r="O87" s="14" t="s">
        <v>506</v>
      </c>
      <c r="P87" s="5"/>
      <c r="Q87" s="5"/>
      <c r="R87" s="5"/>
      <c r="S87" s="4" t="s">
        <v>806</v>
      </c>
      <c r="T87" s="5" t="s">
        <v>807</v>
      </c>
      <c r="U87" s="4" t="n">
        <v>-29.9666</v>
      </c>
      <c r="V87" s="4" t="n">
        <v>-71.31031</v>
      </c>
      <c r="W87" s="5" t="s">
        <v>281</v>
      </c>
      <c r="X87" s="5" t="s">
        <v>44</v>
      </c>
      <c r="Y87" s="5" t="s">
        <v>539</v>
      </c>
    </row>
    <row r="88" customFormat="false" ht="36" hidden="false" customHeight="true" outlineLevel="0" collapsed="false">
      <c r="A88" s="7" t="n">
        <v>84</v>
      </c>
      <c r="B88" s="7" t="n">
        <v>13504</v>
      </c>
      <c r="C88" s="8" t="s">
        <v>808</v>
      </c>
      <c r="D88" s="7" t="s">
        <v>500</v>
      </c>
      <c r="E88" s="7" t="s">
        <v>46</v>
      </c>
      <c r="F88" s="7" t="s">
        <v>30</v>
      </c>
      <c r="G88" s="9" t="n">
        <v>1255</v>
      </c>
      <c r="H88" s="7" t="s">
        <v>809</v>
      </c>
      <c r="I88" s="7" t="s">
        <v>810</v>
      </c>
      <c r="J88" s="7" t="s">
        <v>811</v>
      </c>
      <c r="K88" s="8" t="s">
        <v>812</v>
      </c>
      <c r="L88" s="10" t="s">
        <v>51</v>
      </c>
      <c r="M88" s="11" t="s">
        <v>51</v>
      </c>
      <c r="N88" s="8" t="s">
        <v>813</v>
      </c>
      <c r="O88" s="14" t="s">
        <v>506</v>
      </c>
      <c r="P88" s="8"/>
      <c r="Q88" s="8"/>
      <c r="R88" s="8"/>
      <c r="S88" s="7" t="s">
        <v>814</v>
      </c>
      <c r="T88" s="8" t="s">
        <v>815</v>
      </c>
      <c r="U88" s="7" t="n">
        <v>-29.97743</v>
      </c>
      <c r="V88" s="7" t="n">
        <v>-71.293388</v>
      </c>
      <c r="W88" s="8" t="s">
        <v>281</v>
      </c>
      <c r="X88" s="8"/>
      <c r="Y88" s="8"/>
    </row>
    <row r="89" customFormat="false" ht="36" hidden="false" customHeight="true" outlineLevel="0" collapsed="false">
      <c r="A89" s="4" t="n">
        <v>85</v>
      </c>
      <c r="B89" s="4" t="n">
        <v>13626</v>
      </c>
      <c r="C89" s="5" t="s">
        <v>816</v>
      </c>
      <c r="D89" s="4" t="s">
        <v>500</v>
      </c>
      <c r="E89" s="4" t="s">
        <v>46</v>
      </c>
      <c r="F89" s="4" t="s">
        <v>30</v>
      </c>
      <c r="G89" s="6" t="n">
        <v>358</v>
      </c>
      <c r="H89" s="4" t="s">
        <v>817</v>
      </c>
      <c r="I89" s="4" t="s">
        <v>818</v>
      </c>
      <c r="J89" s="4" t="s">
        <v>532</v>
      </c>
      <c r="K89" s="5" t="s">
        <v>819</v>
      </c>
      <c r="L89" s="13" t="s">
        <v>51</v>
      </c>
      <c r="M89" s="12" t="s">
        <v>51</v>
      </c>
      <c r="N89" s="5" t="s">
        <v>820</v>
      </c>
      <c r="O89" s="14" t="s">
        <v>506</v>
      </c>
      <c r="P89" s="5"/>
      <c r="Q89" s="5"/>
      <c r="R89" s="5"/>
      <c r="S89" s="4" t="s">
        <v>821</v>
      </c>
      <c r="T89" s="5" t="s">
        <v>538</v>
      </c>
      <c r="U89" s="4" t="n">
        <v>-29.96158</v>
      </c>
      <c r="V89" s="4" t="n">
        <v>-71.342957</v>
      </c>
      <c r="W89" s="5" t="s">
        <v>281</v>
      </c>
      <c r="X89" s="5"/>
      <c r="Y89" s="5"/>
    </row>
    <row r="90" customFormat="false" ht="36" hidden="false" customHeight="true" outlineLevel="0" collapsed="false">
      <c r="A90" s="7" t="n">
        <v>86</v>
      </c>
      <c r="B90" s="7" t="n">
        <v>13442</v>
      </c>
      <c r="C90" s="8" t="s">
        <v>822</v>
      </c>
      <c r="D90" s="7" t="s">
        <v>500</v>
      </c>
      <c r="E90" s="7" t="s">
        <v>46</v>
      </c>
      <c r="F90" s="7" t="s">
        <v>30</v>
      </c>
      <c r="G90" s="9" t="n">
        <v>1233</v>
      </c>
      <c r="H90" s="7" t="s">
        <v>823</v>
      </c>
      <c r="I90" s="7" t="s">
        <v>824</v>
      </c>
      <c r="J90" s="7" t="s">
        <v>825</v>
      </c>
      <c r="K90" s="8" t="s">
        <v>826</v>
      </c>
      <c r="L90" s="10" t="s">
        <v>51</v>
      </c>
      <c r="M90" s="7" t="s">
        <v>827</v>
      </c>
      <c r="N90" s="8" t="s">
        <v>828</v>
      </c>
      <c r="O90" s="14" t="s">
        <v>506</v>
      </c>
      <c r="P90" s="8"/>
      <c r="Q90" s="8"/>
      <c r="R90" s="8"/>
      <c r="S90" s="7" t="s">
        <v>829</v>
      </c>
      <c r="T90" s="8" t="s">
        <v>830</v>
      </c>
      <c r="U90" s="7" t="n">
        <v>-29.99054</v>
      </c>
      <c r="V90" s="7" t="n">
        <v>-71.334129</v>
      </c>
      <c r="W90" s="8" t="s">
        <v>281</v>
      </c>
      <c r="X90" s="8" t="s">
        <v>44</v>
      </c>
      <c r="Y90" s="8"/>
    </row>
    <row r="91" customFormat="false" ht="36" hidden="false" customHeight="true" outlineLevel="0" collapsed="false">
      <c r="A91" s="4" t="n">
        <v>87</v>
      </c>
      <c r="B91" s="4" t="n">
        <v>13553</v>
      </c>
      <c r="C91" s="5" t="s">
        <v>831</v>
      </c>
      <c r="D91" s="4" t="s">
        <v>500</v>
      </c>
      <c r="E91" s="4" t="s">
        <v>620</v>
      </c>
      <c r="F91" s="4" t="s">
        <v>30</v>
      </c>
      <c r="G91" s="6" t="n">
        <v>115</v>
      </c>
      <c r="H91" s="4" t="s">
        <v>832</v>
      </c>
      <c r="I91" s="4" t="s">
        <v>833</v>
      </c>
      <c r="J91" s="4" t="s">
        <v>834</v>
      </c>
      <c r="K91" s="5" t="s">
        <v>835</v>
      </c>
      <c r="L91" s="13" t="s">
        <v>51</v>
      </c>
      <c r="M91" s="12" t="s">
        <v>51</v>
      </c>
      <c r="N91" s="5" t="s">
        <v>836</v>
      </c>
      <c r="O91" s="14" t="s">
        <v>506</v>
      </c>
      <c r="P91" s="5"/>
      <c r="Q91" s="5"/>
      <c r="R91" s="5"/>
      <c r="S91" s="4" t="s">
        <v>837</v>
      </c>
      <c r="T91" s="5" t="s">
        <v>838</v>
      </c>
      <c r="U91" s="4" t="n">
        <v>-29.96242</v>
      </c>
      <c r="V91" s="4" t="n">
        <v>-71.337532</v>
      </c>
      <c r="W91" s="5" t="s">
        <v>281</v>
      </c>
      <c r="X91" s="5"/>
      <c r="Y91" s="5"/>
    </row>
    <row r="92" customFormat="false" ht="36" hidden="false" customHeight="true" outlineLevel="0" collapsed="false">
      <c r="A92" s="7" t="n">
        <v>88</v>
      </c>
      <c r="B92" s="7" t="n">
        <v>13324</v>
      </c>
      <c r="C92" s="8" t="s">
        <v>839</v>
      </c>
      <c r="D92" s="7" t="s">
        <v>500</v>
      </c>
      <c r="E92" s="7" t="s">
        <v>46</v>
      </c>
      <c r="F92" s="7" t="s">
        <v>30</v>
      </c>
      <c r="G92" s="9" t="n">
        <v>809</v>
      </c>
      <c r="H92" s="7" t="s">
        <v>840</v>
      </c>
      <c r="I92" s="7" t="s">
        <v>841</v>
      </c>
      <c r="J92" s="7" t="s">
        <v>842</v>
      </c>
      <c r="K92" s="8" t="s">
        <v>843</v>
      </c>
      <c r="L92" s="10" t="s">
        <v>51</v>
      </c>
      <c r="M92" s="11" t="s">
        <v>51</v>
      </c>
      <c r="N92" s="8" t="s">
        <v>844</v>
      </c>
      <c r="O92" s="14" t="s">
        <v>506</v>
      </c>
      <c r="P92" s="8"/>
      <c r="Q92" s="8"/>
      <c r="R92" s="8"/>
      <c r="S92" s="7" t="s">
        <v>845</v>
      </c>
      <c r="T92" s="8" t="s">
        <v>846</v>
      </c>
      <c r="U92" s="7" t="n">
        <v>-29.98431</v>
      </c>
      <c r="V92" s="7" t="n">
        <v>-71.34539</v>
      </c>
      <c r="W92" s="8" t="s">
        <v>281</v>
      </c>
      <c r="X92" s="8"/>
      <c r="Y92" s="8" t="s">
        <v>539</v>
      </c>
    </row>
    <row r="93" customFormat="false" ht="36" hidden="false" customHeight="true" outlineLevel="0" collapsed="false">
      <c r="A93" s="4" t="n">
        <v>89</v>
      </c>
      <c r="B93" s="4" t="n">
        <v>13467</v>
      </c>
      <c r="C93" s="5" t="s">
        <v>847</v>
      </c>
      <c r="D93" s="4" t="s">
        <v>500</v>
      </c>
      <c r="E93" s="4" t="s">
        <v>72</v>
      </c>
      <c r="F93" s="4" t="s">
        <v>30</v>
      </c>
      <c r="G93" s="6" t="n">
        <v>239</v>
      </c>
      <c r="H93" s="4" t="s">
        <v>848</v>
      </c>
      <c r="I93" s="4" t="s">
        <v>849</v>
      </c>
      <c r="J93" s="4" t="s">
        <v>850</v>
      </c>
      <c r="K93" s="5" t="s">
        <v>851</v>
      </c>
      <c r="L93" s="5" t="s">
        <v>852</v>
      </c>
      <c r="M93" s="4" t="s">
        <v>853</v>
      </c>
      <c r="N93" s="5" t="s">
        <v>854</v>
      </c>
      <c r="O93" s="14" t="s">
        <v>506</v>
      </c>
      <c r="P93" s="5"/>
      <c r="Q93" s="5"/>
      <c r="R93" s="5"/>
      <c r="S93" s="4" t="s">
        <v>855</v>
      </c>
      <c r="T93" s="5" t="s">
        <v>846</v>
      </c>
      <c r="U93" s="4" t="n">
        <v>-29.94212</v>
      </c>
      <c r="V93" s="4" t="n">
        <v>-71.341911</v>
      </c>
      <c r="W93" s="5" t="s">
        <v>281</v>
      </c>
      <c r="X93" s="5" t="s">
        <v>44</v>
      </c>
      <c r="Y93" s="5"/>
    </row>
    <row r="94" customFormat="false" ht="36" hidden="false" customHeight="true" outlineLevel="0" collapsed="false">
      <c r="A94" s="7" t="n">
        <v>90</v>
      </c>
      <c r="B94" s="7" t="n">
        <v>648</v>
      </c>
      <c r="C94" s="8" t="s">
        <v>856</v>
      </c>
      <c r="D94" s="7" t="s">
        <v>500</v>
      </c>
      <c r="E94" s="7" t="s">
        <v>46</v>
      </c>
      <c r="F94" s="7" t="s">
        <v>30</v>
      </c>
      <c r="G94" s="9" t="n">
        <v>1125</v>
      </c>
      <c r="H94" s="7" t="s">
        <v>857</v>
      </c>
      <c r="I94" s="7" t="s">
        <v>858</v>
      </c>
      <c r="J94" s="7" t="s">
        <v>859</v>
      </c>
      <c r="K94" s="8" t="s">
        <v>860</v>
      </c>
      <c r="L94" s="10" t="s">
        <v>51</v>
      </c>
      <c r="M94" s="11" t="s">
        <v>51</v>
      </c>
      <c r="N94" s="8" t="s">
        <v>861</v>
      </c>
      <c r="O94" s="14" t="s">
        <v>506</v>
      </c>
      <c r="P94" s="8"/>
      <c r="Q94" s="8"/>
      <c r="R94" s="8"/>
      <c r="S94" s="7" t="s">
        <v>862</v>
      </c>
      <c r="T94" s="8" t="s">
        <v>863</v>
      </c>
      <c r="U94" s="7" t="n">
        <v>-29.96142</v>
      </c>
      <c r="V94" s="7" t="n">
        <v>-71.34729</v>
      </c>
      <c r="W94" s="8" t="s">
        <v>281</v>
      </c>
      <c r="X94" s="8"/>
      <c r="Y94" s="8"/>
    </row>
    <row r="95" customFormat="false" ht="36" hidden="false" customHeight="true" outlineLevel="0" collapsed="false">
      <c r="A95" s="4" t="n">
        <v>91</v>
      </c>
      <c r="B95" s="4" t="n">
        <v>40208</v>
      </c>
      <c r="C95" s="5" t="s">
        <v>864</v>
      </c>
      <c r="D95" s="4" t="s">
        <v>500</v>
      </c>
      <c r="E95" s="4" t="s">
        <v>865</v>
      </c>
      <c r="F95" s="4" t="s">
        <v>30</v>
      </c>
      <c r="G95" s="6" t="n">
        <v>350</v>
      </c>
      <c r="H95" s="4" t="s">
        <v>866</v>
      </c>
      <c r="I95" s="4" t="s">
        <v>867</v>
      </c>
      <c r="J95" s="4" t="s">
        <v>868</v>
      </c>
      <c r="K95" s="5" t="s">
        <v>869</v>
      </c>
      <c r="L95" s="5" t="s">
        <v>870</v>
      </c>
      <c r="M95" s="4" t="s">
        <v>590</v>
      </c>
      <c r="N95" s="5" t="s">
        <v>871</v>
      </c>
      <c r="O95" s="14" t="s">
        <v>506</v>
      </c>
      <c r="P95" s="5"/>
      <c r="Q95" s="5"/>
      <c r="R95" s="5"/>
      <c r="S95" s="4" t="s">
        <v>872</v>
      </c>
      <c r="T95" s="5" t="s">
        <v>873</v>
      </c>
      <c r="U95" s="4" t="n">
        <v>-29.953421</v>
      </c>
      <c r="V95" s="4" t="n">
        <v>-71.248123</v>
      </c>
      <c r="W95" s="5" t="s">
        <v>281</v>
      </c>
      <c r="X95" s="5" t="s">
        <v>44</v>
      </c>
      <c r="Y95" s="5" t="s">
        <v>689</v>
      </c>
    </row>
    <row r="96" customFormat="false" ht="36" hidden="false" customHeight="true" outlineLevel="0" collapsed="false">
      <c r="A96" s="7" t="n">
        <v>92</v>
      </c>
      <c r="B96" s="7" t="n">
        <v>41099</v>
      </c>
      <c r="C96" s="8" t="s">
        <v>874</v>
      </c>
      <c r="D96" s="7" t="s">
        <v>500</v>
      </c>
      <c r="E96" s="7" t="s">
        <v>519</v>
      </c>
      <c r="F96" s="7" t="s">
        <v>30</v>
      </c>
      <c r="G96" s="9" t="n">
        <v>439</v>
      </c>
      <c r="H96" s="7" t="s">
        <v>875</v>
      </c>
      <c r="I96" s="7" t="s">
        <v>876</v>
      </c>
      <c r="J96" s="7" t="s">
        <v>877</v>
      </c>
      <c r="K96" s="8" t="s">
        <v>878</v>
      </c>
      <c r="L96" s="10" t="s">
        <v>51</v>
      </c>
      <c r="M96" s="7" t="s">
        <v>879</v>
      </c>
      <c r="N96" s="8" t="s">
        <v>880</v>
      </c>
      <c r="O96" s="14" t="s">
        <v>506</v>
      </c>
      <c r="P96" s="8"/>
      <c r="Q96" s="8"/>
      <c r="R96" s="8"/>
      <c r="S96" s="7" t="s">
        <v>881</v>
      </c>
      <c r="T96" s="8" t="s">
        <v>882</v>
      </c>
      <c r="U96" s="7" t="n">
        <v>-29.964579</v>
      </c>
      <c r="V96" s="7" t="n">
        <v>-71.345381</v>
      </c>
      <c r="W96" s="8" t="s">
        <v>281</v>
      </c>
      <c r="X96" s="8" t="s">
        <v>44</v>
      </c>
      <c r="Y96" s="8"/>
    </row>
    <row r="97" customFormat="false" ht="36" hidden="false" customHeight="true" outlineLevel="0" collapsed="false">
      <c r="A97" s="4" t="n">
        <v>93</v>
      </c>
      <c r="B97" s="4" t="n">
        <v>40055</v>
      </c>
      <c r="C97" s="5" t="s">
        <v>883</v>
      </c>
      <c r="D97" s="4" t="s">
        <v>500</v>
      </c>
      <c r="E97" s="4" t="s">
        <v>29</v>
      </c>
      <c r="F97" s="4" t="s">
        <v>30</v>
      </c>
      <c r="G97" s="6" t="n">
        <v>141</v>
      </c>
      <c r="H97" s="4" t="s">
        <v>884</v>
      </c>
      <c r="I97" s="4" t="s">
        <v>885</v>
      </c>
      <c r="J97" s="4" t="s">
        <v>886</v>
      </c>
      <c r="K97" s="5" t="s">
        <v>887</v>
      </c>
      <c r="L97" s="5" t="s">
        <v>888</v>
      </c>
      <c r="M97" s="4" t="s">
        <v>555</v>
      </c>
      <c r="N97" s="5" t="s">
        <v>889</v>
      </c>
      <c r="O97" s="4" t="s">
        <v>280</v>
      </c>
      <c r="P97" s="5"/>
      <c r="Q97" s="5"/>
      <c r="R97" s="5"/>
      <c r="S97" s="4"/>
      <c r="T97" s="5" t="s">
        <v>890</v>
      </c>
      <c r="U97" s="4" t="n">
        <v>-29.97955</v>
      </c>
      <c r="V97" s="4" t="n">
        <v>-71.33863</v>
      </c>
      <c r="W97" s="5" t="s">
        <v>281</v>
      </c>
      <c r="X97" s="5" t="s">
        <v>44</v>
      </c>
      <c r="Y97" s="5"/>
    </row>
    <row r="98" customFormat="false" ht="36" hidden="false" customHeight="true" outlineLevel="0" collapsed="false">
      <c r="A98" s="7" t="n">
        <v>94</v>
      </c>
      <c r="B98" s="7" t="n">
        <v>13613</v>
      </c>
      <c r="C98" s="8" t="s">
        <v>891</v>
      </c>
      <c r="D98" s="7" t="s">
        <v>500</v>
      </c>
      <c r="E98" s="7" t="s">
        <v>29</v>
      </c>
      <c r="F98" s="7" t="s">
        <v>30</v>
      </c>
      <c r="G98" s="9" t="n">
        <v>57</v>
      </c>
      <c r="H98" s="7" t="s">
        <v>892</v>
      </c>
      <c r="I98" s="7" t="s">
        <v>893</v>
      </c>
      <c r="J98" s="7" t="s">
        <v>894</v>
      </c>
      <c r="K98" s="8" t="s">
        <v>895</v>
      </c>
      <c r="L98" s="8" t="s">
        <v>896</v>
      </c>
      <c r="M98" s="7" t="s">
        <v>651</v>
      </c>
      <c r="N98" s="8" t="s">
        <v>897</v>
      </c>
      <c r="O98" s="7" t="s">
        <v>280</v>
      </c>
      <c r="P98" s="8"/>
      <c r="Q98" s="8"/>
      <c r="R98" s="8"/>
      <c r="S98" s="7" t="s">
        <v>898</v>
      </c>
      <c r="T98" s="8" t="s">
        <v>899</v>
      </c>
      <c r="U98" s="7" t="n">
        <v>-29.977905</v>
      </c>
      <c r="V98" s="7" t="n">
        <v>-71.32853</v>
      </c>
      <c r="W98" s="8" t="s">
        <v>281</v>
      </c>
      <c r="X98" s="8" t="s">
        <v>44</v>
      </c>
      <c r="Y98" s="8"/>
    </row>
    <row r="99" customFormat="false" ht="36" hidden="false" customHeight="true" outlineLevel="0" collapsed="false">
      <c r="A99" s="4" t="n">
        <v>95</v>
      </c>
      <c r="B99" s="4" t="n">
        <v>40322</v>
      </c>
      <c r="C99" s="5" t="s">
        <v>900</v>
      </c>
      <c r="D99" s="4" t="s">
        <v>500</v>
      </c>
      <c r="E99" s="4" t="s">
        <v>29</v>
      </c>
      <c r="F99" s="4" t="s">
        <v>30</v>
      </c>
      <c r="G99" s="6" t="n">
        <v>134</v>
      </c>
      <c r="H99" s="4" t="s">
        <v>901</v>
      </c>
      <c r="I99" s="4" t="s">
        <v>902</v>
      </c>
      <c r="J99" s="4" t="s">
        <v>903</v>
      </c>
      <c r="K99" s="5" t="s">
        <v>904</v>
      </c>
      <c r="L99" s="5" t="s">
        <v>905</v>
      </c>
      <c r="M99" s="4" t="s">
        <v>488</v>
      </c>
      <c r="N99" s="5" t="s">
        <v>906</v>
      </c>
      <c r="O99" s="4" t="s">
        <v>280</v>
      </c>
      <c r="P99" s="5"/>
      <c r="Q99" s="5"/>
      <c r="R99" s="5"/>
      <c r="S99" s="4"/>
      <c r="T99" s="5" t="s">
        <v>907</v>
      </c>
      <c r="U99" s="4" t="n">
        <v>-29.969617</v>
      </c>
      <c r="V99" s="4" t="n">
        <v>-71.304102</v>
      </c>
      <c r="W99" s="5" t="s">
        <v>281</v>
      </c>
      <c r="X99" s="5" t="s">
        <v>44</v>
      </c>
      <c r="Y99" s="5" t="s">
        <v>539</v>
      </c>
    </row>
    <row r="100" customFormat="false" ht="36" hidden="false" customHeight="true" outlineLevel="0" collapsed="false">
      <c r="A100" s="7" t="n">
        <v>96</v>
      </c>
      <c r="B100" s="7" t="n">
        <v>13607</v>
      </c>
      <c r="C100" s="8" t="s">
        <v>908</v>
      </c>
      <c r="D100" s="7" t="s">
        <v>500</v>
      </c>
      <c r="E100" s="7" t="s">
        <v>29</v>
      </c>
      <c r="F100" s="7" t="s">
        <v>30</v>
      </c>
      <c r="G100" s="9" t="n">
        <v>107</v>
      </c>
      <c r="H100" s="7" t="s">
        <v>909</v>
      </c>
      <c r="I100" s="7" t="s">
        <v>910</v>
      </c>
      <c r="J100" s="7" t="s">
        <v>911</v>
      </c>
      <c r="K100" s="8" t="s">
        <v>912</v>
      </c>
      <c r="L100" s="8" t="s">
        <v>913</v>
      </c>
      <c r="M100" s="7" t="s">
        <v>651</v>
      </c>
      <c r="N100" s="8" t="s">
        <v>914</v>
      </c>
      <c r="O100" s="7" t="s">
        <v>280</v>
      </c>
      <c r="P100" s="8"/>
      <c r="Q100" s="8"/>
      <c r="R100" s="8"/>
      <c r="S100" s="7"/>
      <c r="T100" s="8" t="s">
        <v>915</v>
      </c>
      <c r="U100" s="7" t="n">
        <v>-29.946777</v>
      </c>
      <c r="V100" s="7" t="n">
        <v>-71.35122</v>
      </c>
      <c r="W100" s="8" t="s">
        <v>281</v>
      </c>
      <c r="X100" s="8" t="s">
        <v>44</v>
      </c>
      <c r="Y100" s="8"/>
    </row>
    <row r="101" customFormat="false" ht="36" hidden="false" customHeight="true" outlineLevel="0" collapsed="false">
      <c r="A101" s="4" t="n">
        <v>97</v>
      </c>
      <c r="B101" s="4" t="n">
        <v>13530</v>
      </c>
      <c r="C101" s="5" t="s">
        <v>916</v>
      </c>
      <c r="D101" s="4" t="s">
        <v>500</v>
      </c>
      <c r="E101" s="4" t="s">
        <v>29</v>
      </c>
      <c r="F101" s="4" t="s">
        <v>30</v>
      </c>
      <c r="G101" s="6" t="n">
        <v>92</v>
      </c>
      <c r="H101" s="4" t="s">
        <v>917</v>
      </c>
      <c r="I101" s="4" t="s">
        <v>918</v>
      </c>
      <c r="J101" s="4" t="s">
        <v>919</v>
      </c>
      <c r="K101" s="5" t="s">
        <v>920</v>
      </c>
      <c r="L101" s="5" t="s">
        <v>921</v>
      </c>
      <c r="M101" s="4" t="s">
        <v>535</v>
      </c>
      <c r="N101" s="5" t="s">
        <v>922</v>
      </c>
      <c r="O101" s="4" t="s">
        <v>280</v>
      </c>
      <c r="P101" s="5"/>
      <c r="Q101" s="5"/>
      <c r="R101" s="5"/>
      <c r="S101" s="4"/>
      <c r="T101" s="5" t="s">
        <v>680</v>
      </c>
      <c r="U101" s="4" t="n">
        <v>-29.972258</v>
      </c>
      <c r="V101" s="4" t="n">
        <v>-71.329155</v>
      </c>
      <c r="W101" s="5" t="s">
        <v>281</v>
      </c>
      <c r="X101" s="5" t="s">
        <v>44</v>
      </c>
      <c r="Y101" s="5"/>
    </row>
    <row r="102" customFormat="false" ht="36" hidden="false" customHeight="true" outlineLevel="0" collapsed="false">
      <c r="A102" s="7" t="n">
        <v>98</v>
      </c>
      <c r="B102" s="7" t="n">
        <v>13623</v>
      </c>
      <c r="C102" s="8" t="s">
        <v>923</v>
      </c>
      <c r="D102" s="7" t="s">
        <v>500</v>
      </c>
      <c r="E102" s="7" t="s">
        <v>29</v>
      </c>
      <c r="F102" s="7" t="s">
        <v>30</v>
      </c>
      <c r="G102" s="9" t="n">
        <v>65</v>
      </c>
      <c r="H102" s="7" t="s">
        <v>924</v>
      </c>
      <c r="I102" s="7" t="s">
        <v>925</v>
      </c>
      <c r="J102" s="7" t="s">
        <v>926</v>
      </c>
      <c r="K102" s="8" t="s">
        <v>927</v>
      </c>
      <c r="L102" s="10" t="s">
        <v>51</v>
      </c>
      <c r="M102" s="11" t="s">
        <v>51</v>
      </c>
      <c r="N102" s="8" t="s">
        <v>928</v>
      </c>
      <c r="O102" s="7" t="s">
        <v>280</v>
      </c>
      <c r="P102" s="8"/>
      <c r="Q102" s="8"/>
      <c r="R102" s="8"/>
      <c r="S102" s="7" t="s">
        <v>929</v>
      </c>
      <c r="T102" s="8" t="s">
        <v>930</v>
      </c>
      <c r="U102" s="7" t="n">
        <v>-29.973524</v>
      </c>
      <c r="V102" s="7" t="n">
        <v>-71.252716</v>
      </c>
      <c r="W102" s="8" t="s">
        <v>281</v>
      </c>
      <c r="X102" s="8"/>
      <c r="Y102" s="8"/>
    </row>
    <row r="103" customFormat="false" ht="36" hidden="false" customHeight="true" outlineLevel="0" collapsed="false">
      <c r="A103" s="4" t="n">
        <v>99</v>
      </c>
      <c r="B103" s="4" t="n">
        <v>13636</v>
      </c>
      <c r="C103" s="5" t="s">
        <v>931</v>
      </c>
      <c r="D103" s="4" t="s">
        <v>500</v>
      </c>
      <c r="E103" s="4" t="s">
        <v>29</v>
      </c>
      <c r="F103" s="4" t="s">
        <v>30</v>
      </c>
      <c r="G103" s="6" t="n">
        <v>95</v>
      </c>
      <c r="H103" s="4" t="s">
        <v>932</v>
      </c>
      <c r="I103" s="4" t="s">
        <v>933</v>
      </c>
      <c r="J103" s="4" t="s">
        <v>934</v>
      </c>
      <c r="K103" s="5" t="s">
        <v>935</v>
      </c>
      <c r="L103" s="13" t="s">
        <v>51</v>
      </c>
      <c r="M103" s="12" t="s">
        <v>51</v>
      </c>
      <c r="N103" s="5" t="s">
        <v>936</v>
      </c>
      <c r="O103" s="4" t="s">
        <v>280</v>
      </c>
      <c r="P103" s="5"/>
      <c r="Q103" s="5"/>
      <c r="R103" s="5"/>
      <c r="S103" s="4"/>
      <c r="T103" s="5" t="s">
        <v>937</v>
      </c>
      <c r="U103" s="4" t="n">
        <v>-30.259869</v>
      </c>
      <c r="V103" s="4" t="n">
        <v>-71.49301</v>
      </c>
      <c r="W103" s="5" t="s">
        <v>281</v>
      </c>
      <c r="X103" s="5"/>
      <c r="Y103" s="5"/>
    </row>
    <row r="104" customFormat="false" ht="36" hidden="false" customHeight="true" outlineLevel="0" collapsed="false">
      <c r="A104" s="7" t="n">
        <v>100</v>
      </c>
      <c r="B104" s="7" t="n">
        <v>13499</v>
      </c>
      <c r="C104" s="8" t="s">
        <v>938</v>
      </c>
      <c r="D104" s="7" t="s">
        <v>500</v>
      </c>
      <c r="E104" s="7" t="s">
        <v>29</v>
      </c>
      <c r="F104" s="7" t="s">
        <v>30</v>
      </c>
      <c r="G104" s="9" t="n">
        <v>146</v>
      </c>
      <c r="H104" s="7" t="s">
        <v>939</v>
      </c>
      <c r="I104" s="7" t="s">
        <v>940</v>
      </c>
      <c r="J104" s="7" t="s">
        <v>941</v>
      </c>
      <c r="K104" s="8" t="s">
        <v>942</v>
      </c>
      <c r="L104" s="10" t="s">
        <v>51</v>
      </c>
      <c r="M104" s="7" t="s">
        <v>446</v>
      </c>
      <c r="N104" s="8" t="s">
        <v>943</v>
      </c>
      <c r="O104" s="7" t="s">
        <v>280</v>
      </c>
      <c r="P104" s="8"/>
      <c r="Q104" s="8"/>
      <c r="R104" s="8"/>
      <c r="S104" s="7" t="s">
        <v>516</v>
      </c>
      <c r="T104" s="8" t="s">
        <v>517</v>
      </c>
      <c r="U104" s="7" t="n">
        <v>-29.957296</v>
      </c>
      <c r="V104" s="7" t="n">
        <v>-71.24834</v>
      </c>
      <c r="W104" s="8" t="s">
        <v>281</v>
      </c>
      <c r="X104" s="8" t="s">
        <v>44</v>
      </c>
      <c r="Y104" s="8"/>
    </row>
    <row r="105" customFormat="false" ht="36" hidden="false" customHeight="true" outlineLevel="0" collapsed="false">
      <c r="A105" s="4" t="n">
        <v>101</v>
      </c>
      <c r="B105" s="4" t="n">
        <v>31215</v>
      </c>
      <c r="C105" s="5" t="s">
        <v>944</v>
      </c>
      <c r="D105" s="4" t="s">
        <v>500</v>
      </c>
      <c r="E105" s="4" t="s">
        <v>29</v>
      </c>
      <c r="F105" s="4" t="s">
        <v>30</v>
      </c>
      <c r="G105" s="6" t="n">
        <v>37</v>
      </c>
      <c r="H105" s="4" t="s">
        <v>945</v>
      </c>
      <c r="I105" s="4" t="s">
        <v>946</v>
      </c>
      <c r="J105" s="4" t="s">
        <v>947</v>
      </c>
      <c r="K105" s="5" t="s">
        <v>948</v>
      </c>
      <c r="L105" s="13" t="s">
        <v>51</v>
      </c>
      <c r="M105" s="12" t="s">
        <v>51</v>
      </c>
      <c r="N105" s="5" t="s">
        <v>949</v>
      </c>
      <c r="O105" s="4" t="s">
        <v>280</v>
      </c>
      <c r="P105" s="5"/>
      <c r="Q105" s="5"/>
      <c r="R105" s="5"/>
      <c r="S105" s="4"/>
      <c r="T105" s="5" t="s">
        <v>950</v>
      </c>
      <c r="U105" s="4" t="n">
        <v>-29.99611</v>
      </c>
      <c r="V105" s="4" t="n">
        <v>-71.337605</v>
      </c>
      <c r="W105" s="5" t="s">
        <v>281</v>
      </c>
      <c r="X105" s="5"/>
      <c r="Y105" s="5" t="s">
        <v>951</v>
      </c>
    </row>
    <row r="106" customFormat="false" ht="36" hidden="false" customHeight="true" outlineLevel="0" collapsed="false">
      <c r="A106" s="7" t="n">
        <v>102</v>
      </c>
      <c r="B106" s="7" t="n">
        <v>13567</v>
      </c>
      <c r="C106" s="8" t="s">
        <v>952</v>
      </c>
      <c r="D106" s="7" t="s">
        <v>500</v>
      </c>
      <c r="E106" s="7" t="s">
        <v>29</v>
      </c>
      <c r="F106" s="7" t="s">
        <v>30</v>
      </c>
      <c r="G106" s="9" t="n">
        <v>69</v>
      </c>
      <c r="H106" s="7" t="s">
        <v>953</v>
      </c>
      <c r="I106" s="7" t="s">
        <v>954</v>
      </c>
      <c r="J106" s="7" t="s">
        <v>955</v>
      </c>
      <c r="K106" s="8" t="s">
        <v>956</v>
      </c>
      <c r="L106" s="8" t="s">
        <v>957</v>
      </c>
      <c r="M106" s="7" t="s">
        <v>147</v>
      </c>
      <c r="N106" s="8" t="s">
        <v>958</v>
      </c>
      <c r="O106" s="7" t="s">
        <v>280</v>
      </c>
      <c r="P106" s="8"/>
      <c r="Q106" s="8"/>
      <c r="R106" s="8"/>
      <c r="S106" s="7"/>
      <c r="T106" s="8" t="s">
        <v>959</v>
      </c>
      <c r="U106" s="7" t="n">
        <v>-29.95661</v>
      </c>
      <c r="V106" s="7" t="n">
        <v>-71.3482</v>
      </c>
      <c r="W106" s="8" t="s">
        <v>281</v>
      </c>
      <c r="X106" s="8" t="s">
        <v>44</v>
      </c>
      <c r="Y106" s="8" t="s">
        <v>663</v>
      </c>
    </row>
    <row r="107" customFormat="false" ht="36" hidden="false" customHeight="true" outlineLevel="0" collapsed="false">
      <c r="A107" s="4" t="n">
        <v>103</v>
      </c>
      <c r="B107" s="4" t="n">
        <v>31218</v>
      </c>
      <c r="C107" s="5" t="s">
        <v>960</v>
      </c>
      <c r="D107" s="4" t="s">
        <v>500</v>
      </c>
      <c r="E107" s="4" t="s">
        <v>29</v>
      </c>
      <c r="F107" s="4" t="s">
        <v>30</v>
      </c>
      <c r="G107" s="6" t="n">
        <v>40</v>
      </c>
      <c r="H107" s="4" t="s">
        <v>961</v>
      </c>
      <c r="I107" s="4" t="s">
        <v>962</v>
      </c>
      <c r="J107" s="4" t="s">
        <v>963</v>
      </c>
      <c r="K107" s="5" t="s">
        <v>964</v>
      </c>
      <c r="L107" s="5" t="s">
        <v>965</v>
      </c>
      <c r="M107" s="4" t="s">
        <v>966</v>
      </c>
      <c r="N107" s="5" t="s">
        <v>967</v>
      </c>
      <c r="O107" s="4" t="s">
        <v>280</v>
      </c>
      <c r="P107" s="5"/>
      <c r="Q107" s="5"/>
      <c r="R107" s="5"/>
      <c r="S107" s="4"/>
      <c r="T107" s="5" t="s">
        <v>968</v>
      </c>
      <c r="U107" s="4" t="n">
        <v>-29.98450661</v>
      </c>
      <c r="V107" s="4" t="n">
        <v>-71.34375</v>
      </c>
      <c r="W107" s="5" t="s">
        <v>281</v>
      </c>
      <c r="X107" s="5" t="s">
        <v>44</v>
      </c>
      <c r="Y107" s="5"/>
    </row>
    <row r="108" customFormat="false" ht="36" hidden="false" customHeight="true" outlineLevel="0" collapsed="false">
      <c r="A108" s="7" t="n">
        <v>104</v>
      </c>
      <c r="B108" s="7" t="n">
        <v>40328</v>
      </c>
      <c r="C108" s="8" t="s">
        <v>969</v>
      </c>
      <c r="D108" s="7" t="s">
        <v>500</v>
      </c>
      <c r="E108" s="7" t="s">
        <v>970</v>
      </c>
      <c r="F108" s="7" t="s">
        <v>30</v>
      </c>
      <c r="G108" s="9" t="n">
        <v>108</v>
      </c>
      <c r="H108" s="7" t="s">
        <v>971</v>
      </c>
      <c r="I108" s="7" t="s">
        <v>972</v>
      </c>
      <c r="J108" s="7" t="s">
        <v>973</v>
      </c>
      <c r="K108" s="8" t="s">
        <v>974</v>
      </c>
      <c r="L108" s="8" t="s">
        <v>975</v>
      </c>
      <c r="M108" s="7" t="s">
        <v>488</v>
      </c>
      <c r="N108" s="8" t="s">
        <v>976</v>
      </c>
      <c r="O108" s="7" t="s">
        <v>280</v>
      </c>
      <c r="P108" s="8"/>
      <c r="Q108" s="8"/>
      <c r="R108" s="8"/>
      <c r="S108" s="7"/>
      <c r="T108" s="8" t="s">
        <v>977</v>
      </c>
      <c r="U108" s="7" t="n">
        <v>-29.96583748</v>
      </c>
      <c r="V108" s="7" t="n">
        <v>-71.26084137</v>
      </c>
      <c r="W108" s="8" t="s">
        <v>281</v>
      </c>
      <c r="X108" s="8" t="s">
        <v>44</v>
      </c>
      <c r="Y108" s="8"/>
    </row>
    <row r="109" customFormat="false" ht="36" hidden="false" customHeight="true" outlineLevel="0" collapsed="false">
      <c r="A109" s="4" t="n">
        <v>105</v>
      </c>
      <c r="B109" s="4" t="n">
        <v>11144</v>
      </c>
      <c r="C109" s="5" t="s">
        <v>978</v>
      </c>
      <c r="D109" s="4" t="s">
        <v>500</v>
      </c>
      <c r="E109" s="4" t="s">
        <v>58</v>
      </c>
      <c r="F109" s="4" t="s">
        <v>30</v>
      </c>
      <c r="G109" s="6" t="n">
        <v>1167</v>
      </c>
      <c r="H109" s="4" t="s">
        <v>979</v>
      </c>
      <c r="I109" s="4" t="s">
        <v>980</v>
      </c>
      <c r="J109" s="4" t="s">
        <v>981</v>
      </c>
      <c r="K109" s="5" t="s">
        <v>982</v>
      </c>
      <c r="L109" s="5" t="s">
        <v>167</v>
      </c>
      <c r="M109" s="4" t="s">
        <v>983</v>
      </c>
      <c r="N109" s="5" t="s">
        <v>984</v>
      </c>
      <c r="O109" s="14" t="s">
        <v>506</v>
      </c>
      <c r="P109" s="5"/>
      <c r="Q109" s="5"/>
      <c r="R109" s="5"/>
      <c r="S109" s="4" t="s">
        <v>985</v>
      </c>
      <c r="T109" s="5" t="s">
        <v>986</v>
      </c>
      <c r="U109" s="4" t="n">
        <v>-29.95982</v>
      </c>
      <c r="V109" s="4" t="n">
        <v>-71.250908</v>
      </c>
      <c r="W109" s="5" t="s">
        <v>281</v>
      </c>
      <c r="X109" s="5" t="s">
        <v>44</v>
      </c>
      <c r="Y109" s="5"/>
    </row>
    <row r="110" customFormat="false" ht="36" hidden="false" customHeight="true" outlineLevel="0" collapsed="false">
      <c r="A110" s="7" t="n">
        <v>106</v>
      </c>
      <c r="B110" s="7" t="n">
        <v>13484</v>
      </c>
      <c r="C110" s="8" t="s">
        <v>987</v>
      </c>
      <c r="D110" s="7" t="s">
        <v>500</v>
      </c>
      <c r="E110" s="7" t="s">
        <v>29</v>
      </c>
      <c r="F110" s="7" t="s">
        <v>30</v>
      </c>
      <c r="G110" s="9" t="n">
        <v>47</v>
      </c>
      <c r="H110" s="7" t="s">
        <v>988</v>
      </c>
      <c r="I110" s="7" t="s">
        <v>989</v>
      </c>
      <c r="J110" s="7" t="s">
        <v>990</v>
      </c>
      <c r="K110" s="8" t="s">
        <v>991</v>
      </c>
      <c r="L110" s="10" t="s">
        <v>51</v>
      </c>
      <c r="M110" s="11" t="s">
        <v>51</v>
      </c>
      <c r="N110" s="8" t="s">
        <v>992</v>
      </c>
      <c r="O110" s="7" t="s">
        <v>280</v>
      </c>
      <c r="P110" s="8"/>
      <c r="Q110" s="8"/>
      <c r="R110" s="8"/>
      <c r="S110" s="7" t="s">
        <v>993</v>
      </c>
      <c r="T110" s="8" t="s">
        <v>994</v>
      </c>
      <c r="U110" s="7" t="n">
        <v>-29.97814</v>
      </c>
      <c r="V110" s="7" t="n">
        <v>-71.340324</v>
      </c>
      <c r="W110" s="8" t="s">
        <v>281</v>
      </c>
      <c r="X110" s="8"/>
      <c r="Y110" s="8"/>
    </row>
    <row r="111" customFormat="false" ht="36" hidden="false" customHeight="true" outlineLevel="0" collapsed="false">
      <c r="A111" s="4" t="n">
        <v>107</v>
      </c>
      <c r="B111" s="4" t="n">
        <v>13609</v>
      </c>
      <c r="C111" s="5" t="s">
        <v>995</v>
      </c>
      <c r="D111" s="4" t="s">
        <v>500</v>
      </c>
      <c r="E111" s="4" t="s">
        <v>29</v>
      </c>
      <c r="F111" s="4" t="s">
        <v>30</v>
      </c>
      <c r="G111" s="6" t="n">
        <v>135</v>
      </c>
      <c r="H111" s="4" t="s">
        <v>996</v>
      </c>
      <c r="I111" s="4" t="s">
        <v>997</v>
      </c>
      <c r="J111" s="4" t="s">
        <v>998</v>
      </c>
      <c r="K111" s="5" t="s">
        <v>999</v>
      </c>
      <c r="L111" s="5" t="s">
        <v>905</v>
      </c>
      <c r="M111" s="4" t="s">
        <v>651</v>
      </c>
      <c r="N111" s="5" t="s">
        <v>1000</v>
      </c>
      <c r="O111" s="4" t="s">
        <v>280</v>
      </c>
      <c r="P111" s="5"/>
      <c r="Q111" s="5"/>
      <c r="R111" s="5"/>
      <c r="S111" s="4"/>
      <c r="T111" s="5" t="s">
        <v>1001</v>
      </c>
      <c r="U111" s="4" t="n">
        <v>-29.944397</v>
      </c>
      <c r="V111" s="4" t="n">
        <v>-71.33898</v>
      </c>
      <c r="W111" s="5" t="s">
        <v>281</v>
      </c>
      <c r="X111" s="5" t="s">
        <v>44</v>
      </c>
      <c r="Y111" s="5" t="s">
        <v>539</v>
      </c>
    </row>
    <row r="112" customFormat="false" ht="36" hidden="false" customHeight="true" outlineLevel="0" collapsed="false">
      <c r="A112" s="7" t="n">
        <v>108</v>
      </c>
      <c r="B112" s="7" t="n">
        <v>40318</v>
      </c>
      <c r="C112" s="8" t="s">
        <v>1002</v>
      </c>
      <c r="D112" s="7" t="s">
        <v>500</v>
      </c>
      <c r="E112" s="7" t="s">
        <v>29</v>
      </c>
      <c r="F112" s="7" t="s">
        <v>30</v>
      </c>
      <c r="G112" s="9" t="n">
        <v>51</v>
      </c>
      <c r="H112" s="7" t="s">
        <v>1003</v>
      </c>
      <c r="I112" s="7" t="s">
        <v>1004</v>
      </c>
      <c r="J112" s="7" t="s">
        <v>1005</v>
      </c>
      <c r="K112" s="8" t="s">
        <v>1006</v>
      </c>
      <c r="L112" s="10" t="s">
        <v>51</v>
      </c>
      <c r="M112" s="11" t="s">
        <v>51</v>
      </c>
      <c r="N112" s="8" t="s">
        <v>1007</v>
      </c>
      <c r="O112" s="7" t="s">
        <v>280</v>
      </c>
      <c r="P112" s="8"/>
      <c r="Q112" s="8"/>
      <c r="R112" s="8"/>
      <c r="S112" s="7"/>
      <c r="T112" s="8" t="s">
        <v>1008</v>
      </c>
      <c r="U112" s="7" t="n">
        <v>-29.957686</v>
      </c>
      <c r="V112" s="7" t="n">
        <v>-71.343143</v>
      </c>
      <c r="W112" s="8" t="s">
        <v>281</v>
      </c>
      <c r="X112" s="8" t="s">
        <v>1009</v>
      </c>
      <c r="Y112" s="8"/>
    </row>
    <row r="113" customFormat="false" ht="36" hidden="false" customHeight="true" outlineLevel="0" collapsed="false">
      <c r="A113" s="4" t="n">
        <v>109</v>
      </c>
      <c r="B113" s="4" t="n">
        <v>40028</v>
      </c>
      <c r="C113" s="5" t="s">
        <v>1010</v>
      </c>
      <c r="D113" s="4" t="s">
        <v>500</v>
      </c>
      <c r="E113" s="4" t="s">
        <v>29</v>
      </c>
      <c r="F113" s="4" t="s">
        <v>30</v>
      </c>
      <c r="G113" s="6" t="n">
        <v>52</v>
      </c>
      <c r="H113" s="4" t="s">
        <v>1011</v>
      </c>
      <c r="I113" s="4" t="s">
        <v>1012</v>
      </c>
      <c r="J113" s="4" t="s">
        <v>1013</v>
      </c>
      <c r="K113" s="5" t="s">
        <v>1014</v>
      </c>
      <c r="L113" s="13" t="s">
        <v>51</v>
      </c>
      <c r="M113" s="12" t="s">
        <v>51</v>
      </c>
      <c r="N113" s="5" t="s">
        <v>1015</v>
      </c>
      <c r="O113" s="4" t="s">
        <v>280</v>
      </c>
      <c r="P113" s="5"/>
      <c r="Q113" s="5"/>
      <c r="R113" s="5"/>
      <c r="S113" s="4"/>
      <c r="T113" s="5" t="s">
        <v>1016</v>
      </c>
      <c r="U113" s="4" t="n">
        <v>-29.980446</v>
      </c>
      <c r="V113" s="4" t="n">
        <v>-71.25884</v>
      </c>
      <c r="W113" s="5" t="s">
        <v>281</v>
      </c>
      <c r="X113" s="5"/>
      <c r="Y113" s="5"/>
    </row>
    <row r="114" customFormat="false" ht="36" hidden="false" customHeight="true" outlineLevel="0" collapsed="false">
      <c r="A114" s="7" t="n">
        <v>110</v>
      </c>
      <c r="B114" s="7" t="n">
        <v>40207</v>
      </c>
      <c r="C114" s="8" t="s">
        <v>1017</v>
      </c>
      <c r="D114" s="7" t="s">
        <v>500</v>
      </c>
      <c r="E114" s="7" t="s">
        <v>29</v>
      </c>
      <c r="F114" s="7" t="s">
        <v>59</v>
      </c>
      <c r="G114" s="9" t="n">
        <v>93</v>
      </c>
      <c r="H114" s="7" t="s">
        <v>1018</v>
      </c>
      <c r="I114" s="7" t="s">
        <v>1019</v>
      </c>
      <c r="J114" s="7" t="s">
        <v>1020</v>
      </c>
      <c r="K114" s="8" t="s">
        <v>1021</v>
      </c>
      <c r="L114" s="10" t="s">
        <v>51</v>
      </c>
      <c r="M114" s="11" t="s">
        <v>51</v>
      </c>
      <c r="N114" s="8" t="s">
        <v>1022</v>
      </c>
      <c r="O114" s="7" t="s">
        <v>280</v>
      </c>
      <c r="P114" s="8"/>
      <c r="Q114" s="8"/>
      <c r="R114" s="8"/>
      <c r="S114" s="7" t="s">
        <v>1023</v>
      </c>
      <c r="T114" s="8" t="s">
        <v>1024</v>
      </c>
      <c r="U114" s="7" t="n">
        <v>-29.964972</v>
      </c>
      <c r="V114" s="7" t="n">
        <v>-71.248983</v>
      </c>
      <c r="W114" s="8" t="s">
        <v>281</v>
      </c>
      <c r="X114" s="8"/>
      <c r="Y114" s="8"/>
    </row>
    <row r="115" customFormat="false" ht="60" hidden="false" customHeight="true" outlineLevel="0" collapsed="false">
      <c r="A115" s="4" t="n">
        <v>111</v>
      </c>
      <c r="B115" s="4" t="n">
        <v>41504</v>
      </c>
      <c r="C115" s="5" t="s">
        <v>1025</v>
      </c>
      <c r="D115" s="4" t="s">
        <v>500</v>
      </c>
      <c r="E115" s="4" t="s">
        <v>29</v>
      </c>
      <c r="F115" s="4" t="s">
        <v>30</v>
      </c>
      <c r="G115" s="6" t="n">
        <v>28</v>
      </c>
      <c r="H115" s="4" t="s">
        <v>1026</v>
      </c>
      <c r="I115" s="4" t="s">
        <v>1027</v>
      </c>
      <c r="J115" s="4" t="s">
        <v>1028</v>
      </c>
      <c r="K115" s="5" t="s">
        <v>1029</v>
      </c>
      <c r="L115" s="13" t="s">
        <v>51</v>
      </c>
      <c r="M115" s="4" t="s">
        <v>1030</v>
      </c>
      <c r="N115" s="5" t="s">
        <v>1031</v>
      </c>
      <c r="O115" s="4" t="s">
        <v>280</v>
      </c>
      <c r="P115" s="5"/>
      <c r="Q115" s="5"/>
      <c r="R115" s="5"/>
      <c r="S115" s="4"/>
      <c r="T115" s="5" t="s">
        <v>1032</v>
      </c>
      <c r="U115" s="4" t="n">
        <v>-29.983994</v>
      </c>
      <c r="V115" s="4" t="n">
        <v>-71.336644</v>
      </c>
      <c r="W115" s="5" t="s">
        <v>281</v>
      </c>
      <c r="X115" s="5" t="s">
        <v>44</v>
      </c>
      <c r="Y115" s="5" t="s">
        <v>689</v>
      </c>
    </row>
    <row r="116" customFormat="false" ht="36" hidden="false" customHeight="true" outlineLevel="0" collapsed="false">
      <c r="A116" s="7" t="n">
        <v>112</v>
      </c>
      <c r="B116" s="7" t="n">
        <v>20638</v>
      </c>
      <c r="C116" s="8" t="s">
        <v>1033</v>
      </c>
      <c r="D116" s="7" t="s">
        <v>500</v>
      </c>
      <c r="E116" s="7" t="s">
        <v>29</v>
      </c>
      <c r="F116" s="7" t="s">
        <v>59</v>
      </c>
      <c r="G116" s="9" t="n">
        <v>90</v>
      </c>
      <c r="H116" s="7" t="s">
        <v>1034</v>
      </c>
      <c r="I116" s="11" t="s">
        <v>51</v>
      </c>
      <c r="J116" s="7" t="s">
        <v>1035</v>
      </c>
      <c r="K116" s="8" t="s">
        <v>1036</v>
      </c>
      <c r="L116" s="10" t="s">
        <v>51</v>
      </c>
      <c r="M116" s="11" t="s">
        <v>51</v>
      </c>
      <c r="N116" s="8" t="s">
        <v>1037</v>
      </c>
      <c r="O116" s="7" t="s">
        <v>280</v>
      </c>
      <c r="P116" s="8"/>
      <c r="Q116" s="8"/>
      <c r="R116" s="8"/>
      <c r="S116" s="7"/>
      <c r="T116" s="8" t="s">
        <v>1038</v>
      </c>
      <c r="U116" s="7" t="n">
        <v>-29.95969</v>
      </c>
      <c r="V116" s="7" t="n">
        <v>-71.26006</v>
      </c>
      <c r="W116" s="8" t="s">
        <v>281</v>
      </c>
      <c r="X116" s="8"/>
      <c r="Y116" s="8"/>
    </row>
    <row r="117" customFormat="false" ht="36" hidden="false" customHeight="true" outlineLevel="0" collapsed="false">
      <c r="A117" s="4" t="n">
        <v>113</v>
      </c>
      <c r="B117" s="4" t="n">
        <v>40266</v>
      </c>
      <c r="C117" s="5" t="s">
        <v>1039</v>
      </c>
      <c r="D117" s="4" t="s">
        <v>500</v>
      </c>
      <c r="E117" s="4" t="s">
        <v>29</v>
      </c>
      <c r="F117" s="4" t="s">
        <v>30</v>
      </c>
      <c r="G117" s="6" t="n">
        <v>86</v>
      </c>
      <c r="H117" s="4" t="s">
        <v>1040</v>
      </c>
      <c r="I117" s="12" t="s">
        <v>51</v>
      </c>
      <c r="J117" s="4" t="s">
        <v>1041</v>
      </c>
      <c r="K117" s="5" t="s">
        <v>1042</v>
      </c>
      <c r="L117" s="13" t="s">
        <v>51</v>
      </c>
      <c r="M117" s="12" t="s">
        <v>51</v>
      </c>
      <c r="N117" s="5" t="s">
        <v>1043</v>
      </c>
      <c r="O117" s="4" t="s">
        <v>280</v>
      </c>
      <c r="P117" s="5"/>
      <c r="Q117" s="5"/>
      <c r="R117" s="5"/>
      <c r="S117" s="4" t="s">
        <v>1044</v>
      </c>
      <c r="T117" s="5" t="s">
        <v>1045</v>
      </c>
      <c r="U117" s="4" t="n">
        <v>-29.969055</v>
      </c>
      <c r="V117" s="4" t="n">
        <v>-71.24937</v>
      </c>
      <c r="W117" s="5" t="s">
        <v>281</v>
      </c>
      <c r="X117" s="5"/>
      <c r="Y117" s="5"/>
    </row>
    <row r="118" customFormat="false" ht="36" hidden="false" customHeight="true" outlineLevel="0" collapsed="false">
      <c r="A118" s="7" t="n">
        <v>114</v>
      </c>
      <c r="B118" s="7" t="n">
        <v>31209</v>
      </c>
      <c r="C118" s="8" t="s">
        <v>1046</v>
      </c>
      <c r="D118" s="7" t="s">
        <v>500</v>
      </c>
      <c r="E118" s="7" t="s">
        <v>29</v>
      </c>
      <c r="F118" s="7" t="s">
        <v>59</v>
      </c>
      <c r="G118" s="9" t="n">
        <v>108</v>
      </c>
      <c r="H118" s="7" t="s">
        <v>1047</v>
      </c>
      <c r="I118" s="7" t="s">
        <v>1048</v>
      </c>
      <c r="J118" s="7" t="s">
        <v>1049</v>
      </c>
      <c r="K118" s="8" t="s">
        <v>1050</v>
      </c>
      <c r="L118" s="8" t="s">
        <v>445</v>
      </c>
      <c r="M118" s="7" t="s">
        <v>966</v>
      </c>
      <c r="N118" s="8" t="s">
        <v>1051</v>
      </c>
      <c r="O118" s="7" t="s">
        <v>280</v>
      </c>
      <c r="P118" s="8"/>
      <c r="Q118" s="8"/>
      <c r="R118" s="8"/>
      <c r="S118" s="7"/>
      <c r="T118" s="8" t="s">
        <v>1052</v>
      </c>
      <c r="U118" s="7" t="n">
        <v>-29.99129</v>
      </c>
      <c r="V118" s="7" t="n">
        <v>-71.32441</v>
      </c>
      <c r="W118" s="8" t="s">
        <v>281</v>
      </c>
      <c r="X118" s="8" t="s">
        <v>44</v>
      </c>
      <c r="Y118" s="8" t="s">
        <v>951</v>
      </c>
    </row>
    <row r="119" customFormat="false" ht="36" hidden="false" customHeight="true" outlineLevel="0" collapsed="false">
      <c r="A119" s="4" t="n">
        <v>115</v>
      </c>
      <c r="B119" s="4" t="n">
        <v>20328</v>
      </c>
      <c r="C119" s="5" t="s">
        <v>1053</v>
      </c>
      <c r="D119" s="4" t="s">
        <v>500</v>
      </c>
      <c r="E119" s="4" t="s">
        <v>29</v>
      </c>
      <c r="F119" s="4" t="s">
        <v>30</v>
      </c>
      <c r="G119" s="6" t="n">
        <v>26</v>
      </c>
      <c r="H119" s="4" t="s">
        <v>1054</v>
      </c>
      <c r="I119" s="4" t="s">
        <v>1055</v>
      </c>
      <c r="J119" s="4" t="s">
        <v>1056</v>
      </c>
      <c r="K119" s="5" t="s">
        <v>1057</v>
      </c>
      <c r="L119" s="13" t="s">
        <v>51</v>
      </c>
      <c r="M119" s="4" t="s">
        <v>1058</v>
      </c>
      <c r="N119" s="5" t="s">
        <v>1059</v>
      </c>
      <c r="O119" s="4" t="s">
        <v>280</v>
      </c>
      <c r="P119" s="5"/>
      <c r="Q119" s="5"/>
      <c r="R119" s="5"/>
      <c r="S119" s="4"/>
      <c r="T119" s="5" t="s">
        <v>1060</v>
      </c>
      <c r="U119" s="4" t="n">
        <v>-29.99396</v>
      </c>
      <c r="V119" s="4" t="n">
        <v>-71.32636</v>
      </c>
      <c r="W119" s="5" t="s">
        <v>281</v>
      </c>
      <c r="X119" s="5" t="s">
        <v>44</v>
      </c>
      <c r="Y119" s="5"/>
    </row>
    <row r="120" customFormat="false" ht="36" hidden="false" customHeight="true" outlineLevel="0" collapsed="false">
      <c r="A120" s="7" t="n">
        <v>116</v>
      </c>
      <c r="B120" s="7" t="n">
        <v>20355</v>
      </c>
      <c r="C120" s="8" t="s">
        <v>1061</v>
      </c>
      <c r="D120" s="7" t="s">
        <v>500</v>
      </c>
      <c r="E120" s="7" t="s">
        <v>29</v>
      </c>
      <c r="F120" s="7" t="s">
        <v>30</v>
      </c>
      <c r="G120" s="9" t="n">
        <v>101</v>
      </c>
      <c r="H120" s="7" t="s">
        <v>1062</v>
      </c>
      <c r="I120" s="7" t="s">
        <v>1063</v>
      </c>
      <c r="J120" s="7" t="s">
        <v>1064</v>
      </c>
      <c r="K120" s="8" t="s">
        <v>1065</v>
      </c>
      <c r="L120" s="8" t="s">
        <v>1066</v>
      </c>
      <c r="M120" s="7" t="s">
        <v>730</v>
      </c>
      <c r="N120" s="8" t="s">
        <v>1067</v>
      </c>
      <c r="O120" s="7" t="s">
        <v>280</v>
      </c>
      <c r="P120" s="8"/>
      <c r="Q120" s="8"/>
      <c r="R120" s="8"/>
      <c r="S120" s="7"/>
      <c r="T120" s="8" t="s">
        <v>1068</v>
      </c>
      <c r="U120" s="7" t="n">
        <v>-29.96708</v>
      </c>
      <c r="V120" s="7" t="n">
        <v>-71.34772</v>
      </c>
      <c r="W120" s="8" t="s">
        <v>281</v>
      </c>
      <c r="X120" s="8" t="s">
        <v>44</v>
      </c>
      <c r="Y120" s="8"/>
    </row>
    <row r="121" customFormat="false" ht="36" hidden="false" customHeight="true" outlineLevel="0" collapsed="false">
      <c r="A121" s="4" t="n">
        <v>117</v>
      </c>
      <c r="B121" s="4" t="n">
        <v>40273</v>
      </c>
      <c r="C121" s="5" t="s">
        <v>1069</v>
      </c>
      <c r="D121" s="4" t="s">
        <v>500</v>
      </c>
      <c r="E121" s="4" t="s">
        <v>29</v>
      </c>
      <c r="F121" s="4" t="s">
        <v>30</v>
      </c>
      <c r="G121" s="6" t="n">
        <v>58</v>
      </c>
      <c r="H121" s="4" t="s">
        <v>1070</v>
      </c>
      <c r="I121" s="4" t="s">
        <v>1071</v>
      </c>
      <c r="J121" s="4" t="s">
        <v>1072</v>
      </c>
      <c r="K121" s="5" t="s">
        <v>1073</v>
      </c>
      <c r="L121" s="13" t="s">
        <v>51</v>
      </c>
      <c r="M121" s="12" t="s">
        <v>51</v>
      </c>
      <c r="N121" s="5" t="s">
        <v>1074</v>
      </c>
      <c r="O121" s="4" t="s">
        <v>280</v>
      </c>
      <c r="P121" s="5"/>
      <c r="Q121" s="5"/>
      <c r="R121" s="5"/>
      <c r="S121" s="4"/>
      <c r="T121" s="5" t="s">
        <v>1075</v>
      </c>
      <c r="U121" s="4" t="n">
        <v>-29.97809</v>
      </c>
      <c r="V121" s="4" t="n">
        <v>-71.24852</v>
      </c>
      <c r="W121" s="5" t="s">
        <v>281</v>
      </c>
      <c r="X121" s="5"/>
      <c r="Y121" s="5"/>
    </row>
    <row r="122" customFormat="false" ht="36" hidden="false" customHeight="true" outlineLevel="0" collapsed="false">
      <c r="A122" s="7" t="n">
        <v>118</v>
      </c>
      <c r="B122" s="7" t="n">
        <v>40302</v>
      </c>
      <c r="C122" s="8" t="s">
        <v>1076</v>
      </c>
      <c r="D122" s="7" t="s">
        <v>500</v>
      </c>
      <c r="E122" s="7" t="s">
        <v>29</v>
      </c>
      <c r="F122" s="7" t="s">
        <v>30</v>
      </c>
      <c r="G122" s="9" t="n">
        <v>57</v>
      </c>
      <c r="H122" s="7" t="s">
        <v>1077</v>
      </c>
      <c r="I122" s="7" t="s">
        <v>1078</v>
      </c>
      <c r="J122" s="7" t="s">
        <v>1079</v>
      </c>
      <c r="K122" s="8" t="s">
        <v>1080</v>
      </c>
      <c r="L122" s="10" t="s">
        <v>51</v>
      </c>
      <c r="M122" s="11" t="s">
        <v>51</v>
      </c>
      <c r="N122" s="8" t="s">
        <v>1081</v>
      </c>
      <c r="O122" s="7" t="s">
        <v>280</v>
      </c>
      <c r="P122" s="8"/>
      <c r="Q122" s="8"/>
      <c r="R122" s="8"/>
      <c r="S122" s="7" t="s">
        <v>1082</v>
      </c>
      <c r="T122" s="8" t="s">
        <v>1083</v>
      </c>
      <c r="U122" s="7" t="n">
        <v>-29.962047</v>
      </c>
      <c r="V122" s="7" t="n">
        <v>-71.300422</v>
      </c>
      <c r="W122" s="8" t="s">
        <v>281</v>
      </c>
      <c r="X122" s="8"/>
      <c r="Y122" s="8" t="s">
        <v>539</v>
      </c>
    </row>
    <row r="123" customFormat="false" ht="36" hidden="false" customHeight="true" outlineLevel="0" collapsed="false">
      <c r="A123" s="4" t="n">
        <v>119</v>
      </c>
      <c r="B123" s="4" t="n">
        <v>41503</v>
      </c>
      <c r="C123" s="5" t="s">
        <v>1084</v>
      </c>
      <c r="D123" s="4" t="s">
        <v>500</v>
      </c>
      <c r="E123" s="4" t="s">
        <v>29</v>
      </c>
      <c r="F123" s="4" t="s">
        <v>30</v>
      </c>
      <c r="G123" s="6" t="n">
        <v>63</v>
      </c>
      <c r="H123" s="4" t="s">
        <v>1085</v>
      </c>
      <c r="I123" s="4" t="s">
        <v>1086</v>
      </c>
      <c r="J123" s="4" t="s">
        <v>1087</v>
      </c>
      <c r="K123" s="5" t="s">
        <v>1088</v>
      </c>
      <c r="L123" s="5" t="s">
        <v>1089</v>
      </c>
      <c r="M123" s="4" t="s">
        <v>1030</v>
      </c>
      <c r="N123" s="5" t="s">
        <v>1090</v>
      </c>
      <c r="O123" s="4" t="s">
        <v>280</v>
      </c>
      <c r="P123" s="5"/>
      <c r="Q123" s="5"/>
      <c r="R123" s="5"/>
      <c r="S123" s="4"/>
      <c r="T123" s="5" t="s">
        <v>1091</v>
      </c>
      <c r="U123" s="4" t="n">
        <v>-30.007382</v>
      </c>
      <c r="V123" s="4" t="n">
        <v>-71.329643</v>
      </c>
      <c r="W123" s="5" t="s">
        <v>281</v>
      </c>
      <c r="X123" s="5" t="s">
        <v>44</v>
      </c>
      <c r="Y123" s="5" t="s">
        <v>689</v>
      </c>
    </row>
    <row r="124" customFormat="false" ht="36" hidden="false" customHeight="true" outlineLevel="0" collapsed="false">
      <c r="A124" s="7" t="n">
        <v>120</v>
      </c>
      <c r="B124" s="7" t="n">
        <v>13598</v>
      </c>
      <c r="C124" s="8" t="s">
        <v>1092</v>
      </c>
      <c r="D124" s="7" t="s">
        <v>500</v>
      </c>
      <c r="E124" s="7" t="s">
        <v>29</v>
      </c>
      <c r="F124" s="7" t="s">
        <v>30</v>
      </c>
      <c r="G124" s="9" t="n">
        <v>136</v>
      </c>
      <c r="H124" s="7" t="s">
        <v>1093</v>
      </c>
      <c r="I124" s="7" t="s">
        <v>1094</v>
      </c>
      <c r="J124" s="7" t="s">
        <v>1095</v>
      </c>
      <c r="K124" s="8" t="s">
        <v>1096</v>
      </c>
      <c r="L124" s="10" t="s">
        <v>51</v>
      </c>
      <c r="M124" s="11" t="s">
        <v>51</v>
      </c>
      <c r="N124" s="8" t="s">
        <v>1097</v>
      </c>
      <c r="O124" s="7" t="s">
        <v>280</v>
      </c>
      <c r="P124" s="8"/>
      <c r="Q124" s="8"/>
      <c r="R124" s="8"/>
      <c r="S124" s="7"/>
      <c r="T124" s="8" t="s">
        <v>1098</v>
      </c>
      <c r="U124" s="7" t="n">
        <v>-29.962547</v>
      </c>
      <c r="V124" s="7" t="n">
        <v>-71.3375</v>
      </c>
      <c r="W124" s="8" t="s">
        <v>281</v>
      </c>
      <c r="X124" s="8"/>
      <c r="Y124" s="8" t="s">
        <v>539</v>
      </c>
    </row>
    <row r="125" customFormat="false" ht="36" hidden="false" customHeight="true" outlineLevel="0" collapsed="false">
      <c r="A125" s="4" t="n">
        <v>121</v>
      </c>
      <c r="B125" s="4" t="n">
        <v>20332</v>
      </c>
      <c r="C125" s="5" t="s">
        <v>1099</v>
      </c>
      <c r="D125" s="4" t="s">
        <v>500</v>
      </c>
      <c r="E125" s="4" t="s">
        <v>29</v>
      </c>
      <c r="F125" s="4" t="s">
        <v>30</v>
      </c>
      <c r="G125" s="6" t="n">
        <v>103</v>
      </c>
      <c r="H125" s="4" t="s">
        <v>1100</v>
      </c>
      <c r="I125" s="4" t="s">
        <v>1101</v>
      </c>
      <c r="J125" s="4" t="s">
        <v>587</v>
      </c>
      <c r="K125" s="5" t="s">
        <v>1102</v>
      </c>
      <c r="L125" s="13" t="s">
        <v>51</v>
      </c>
      <c r="M125" s="12" t="s">
        <v>51</v>
      </c>
      <c r="N125" s="5" t="s">
        <v>1103</v>
      </c>
      <c r="O125" s="4" t="s">
        <v>280</v>
      </c>
      <c r="P125" s="5"/>
      <c r="Q125" s="5"/>
      <c r="R125" s="5"/>
      <c r="S125" s="4"/>
      <c r="T125" s="5" t="s">
        <v>1104</v>
      </c>
      <c r="U125" s="4" t="n">
        <v>-29.97292</v>
      </c>
      <c r="V125" s="4" t="n">
        <v>-71.3295</v>
      </c>
      <c r="W125" s="5" t="s">
        <v>281</v>
      </c>
      <c r="X125" s="5"/>
      <c r="Y125" s="5" t="s">
        <v>689</v>
      </c>
    </row>
    <row r="126" customFormat="false" ht="36" hidden="false" customHeight="true" outlineLevel="0" collapsed="false">
      <c r="A126" s="7" t="n">
        <v>122</v>
      </c>
      <c r="B126" s="7" t="n">
        <v>13601</v>
      </c>
      <c r="C126" s="8" t="s">
        <v>1105</v>
      </c>
      <c r="D126" s="7" t="s">
        <v>500</v>
      </c>
      <c r="E126" s="7" t="s">
        <v>29</v>
      </c>
      <c r="F126" s="7" t="s">
        <v>30</v>
      </c>
      <c r="G126" s="9" t="n">
        <v>82</v>
      </c>
      <c r="H126" s="7" t="s">
        <v>1106</v>
      </c>
      <c r="I126" s="7" t="s">
        <v>1107</v>
      </c>
      <c r="J126" s="7" t="s">
        <v>1108</v>
      </c>
      <c r="K126" s="8" t="s">
        <v>1109</v>
      </c>
      <c r="L126" s="10" t="s">
        <v>51</v>
      </c>
      <c r="M126" s="11" t="s">
        <v>51</v>
      </c>
      <c r="N126" s="8" t="s">
        <v>1110</v>
      </c>
      <c r="O126" s="7" t="s">
        <v>280</v>
      </c>
      <c r="P126" s="8"/>
      <c r="Q126" s="8"/>
      <c r="R126" s="8"/>
      <c r="S126" s="7"/>
      <c r="T126" s="8" t="s">
        <v>1111</v>
      </c>
      <c r="U126" s="7" t="n">
        <v>-29.98132</v>
      </c>
      <c r="V126" s="7" t="n">
        <v>-71.29749</v>
      </c>
      <c r="W126" s="8" t="s">
        <v>281</v>
      </c>
      <c r="X126" s="8"/>
      <c r="Y126" s="8" t="s">
        <v>539</v>
      </c>
    </row>
    <row r="127" customFormat="false" ht="36" hidden="false" customHeight="true" outlineLevel="0" collapsed="false">
      <c r="A127" s="4" t="n">
        <v>123</v>
      </c>
      <c r="B127" s="4" t="n">
        <v>13479</v>
      </c>
      <c r="C127" s="5" t="s">
        <v>1112</v>
      </c>
      <c r="D127" s="4" t="s">
        <v>500</v>
      </c>
      <c r="E127" s="4" t="s">
        <v>29</v>
      </c>
      <c r="F127" s="4" t="s">
        <v>30</v>
      </c>
      <c r="G127" s="6" t="n">
        <v>131</v>
      </c>
      <c r="H127" s="4" t="s">
        <v>1113</v>
      </c>
      <c r="I127" s="4" t="s">
        <v>1114</v>
      </c>
      <c r="J127" s="4" t="s">
        <v>1115</v>
      </c>
      <c r="K127" s="5" t="s">
        <v>1116</v>
      </c>
      <c r="L127" s="13" t="s">
        <v>51</v>
      </c>
      <c r="M127" s="12" t="s">
        <v>51</v>
      </c>
      <c r="N127" s="5" t="s">
        <v>1117</v>
      </c>
      <c r="O127" s="4" t="s">
        <v>280</v>
      </c>
      <c r="P127" s="5"/>
      <c r="Q127" s="5"/>
      <c r="R127" s="5"/>
      <c r="S127" s="4"/>
      <c r="T127" s="5" t="s">
        <v>1118</v>
      </c>
      <c r="U127" s="4" t="n">
        <v>-29.958744</v>
      </c>
      <c r="V127" s="4" t="n">
        <v>-71.25819</v>
      </c>
      <c r="W127" s="5" t="s">
        <v>281</v>
      </c>
      <c r="X127" s="5"/>
      <c r="Y127" s="5" t="s">
        <v>689</v>
      </c>
    </row>
    <row r="128" customFormat="false" ht="36" hidden="false" customHeight="true" outlineLevel="0" collapsed="false">
      <c r="A128" s="7" t="n">
        <v>124</v>
      </c>
      <c r="B128" s="7" t="n">
        <v>40143</v>
      </c>
      <c r="C128" s="8" t="s">
        <v>1119</v>
      </c>
      <c r="D128" s="7" t="s">
        <v>500</v>
      </c>
      <c r="E128" s="7" t="s">
        <v>29</v>
      </c>
      <c r="F128" s="7" t="s">
        <v>30</v>
      </c>
      <c r="G128" s="9" t="n">
        <v>123</v>
      </c>
      <c r="H128" s="7" t="s">
        <v>1120</v>
      </c>
      <c r="I128" s="7" t="s">
        <v>1121</v>
      </c>
      <c r="J128" s="7" t="s">
        <v>1122</v>
      </c>
      <c r="K128" s="8" t="s">
        <v>1123</v>
      </c>
      <c r="L128" s="10" t="s">
        <v>51</v>
      </c>
      <c r="M128" s="11" t="s">
        <v>51</v>
      </c>
      <c r="N128" s="8" t="s">
        <v>1124</v>
      </c>
      <c r="O128" s="7" t="s">
        <v>280</v>
      </c>
      <c r="P128" s="8"/>
      <c r="Q128" s="8"/>
      <c r="R128" s="8"/>
      <c r="S128" s="7"/>
      <c r="T128" s="8" t="s">
        <v>1125</v>
      </c>
      <c r="U128" s="7" t="n">
        <v>-29.97958</v>
      </c>
      <c r="V128" s="7" t="n">
        <v>-71.30059</v>
      </c>
      <c r="W128" s="8" t="s">
        <v>281</v>
      </c>
      <c r="X128" s="8"/>
      <c r="Y128" s="8"/>
    </row>
    <row r="129" customFormat="false" ht="36" hidden="false" customHeight="true" outlineLevel="0" collapsed="false">
      <c r="A129" s="4" t="n">
        <v>125</v>
      </c>
      <c r="B129" s="4" t="n">
        <v>13575</v>
      </c>
      <c r="C129" s="5" t="s">
        <v>1126</v>
      </c>
      <c r="D129" s="4" t="s">
        <v>500</v>
      </c>
      <c r="E129" s="4" t="s">
        <v>29</v>
      </c>
      <c r="F129" s="4" t="s">
        <v>30</v>
      </c>
      <c r="G129" s="6" t="n">
        <v>123</v>
      </c>
      <c r="H129" s="4" t="s">
        <v>1127</v>
      </c>
      <c r="I129" s="4" t="s">
        <v>1128</v>
      </c>
      <c r="J129" s="4" t="s">
        <v>1129</v>
      </c>
      <c r="K129" s="5" t="s">
        <v>1130</v>
      </c>
      <c r="L129" s="13" t="s">
        <v>51</v>
      </c>
      <c r="M129" s="12" t="s">
        <v>51</v>
      </c>
      <c r="N129" s="5" t="s">
        <v>1131</v>
      </c>
      <c r="O129" s="4" t="s">
        <v>280</v>
      </c>
      <c r="P129" s="5"/>
      <c r="Q129" s="5"/>
      <c r="R129" s="5"/>
      <c r="S129" s="4"/>
      <c r="T129" s="5" t="s">
        <v>1016</v>
      </c>
      <c r="U129" s="4" t="n">
        <v>-29.954714</v>
      </c>
      <c r="V129" s="4" t="n">
        <v>-71.348785</v>
      </c>
      <c r="W129" s="5" t="s">
        <v>281</v>
      </c>
      <c r="X129" s="5"/>
      <c r="Y129" s="5"/>
    </row>
    <row r="130" customFormat="false" ht="36" hidden="false" customHeight="true" outlineLevel="0" collapsed="false">
      <c r="A130" s="7" t="n">
        <v>126</v>
      </c>
      <c r="B130" s="7" t="n">
        <v>20372</v>
      </c>
      <c r="C130" s="8" t="s">
        <v>1132</v>
      </c>
      <c r="D130" s="7" t="s">
        <v>500</v>
      </c>
      <c r="E130" s="7" t="s">
        <v>29</v>
      </c>
      <c r="F130" s="7" t="s">
        <v>59</v>
      </c>
      <c r="G130" s="9" t="n">
        <v>150</v>
      </c>
      <c r="H130" s="7" t="s">
        <v>1133</v>
      </c>
      <c r="I130" s="11" t="s">
        <v>51</v>
      </c>
      <c r="J130" s="7" t="s">
        <v>1134</v>
      </c>
      <c r="K130" s="8" t="s">
        <v>1135</v>
      </c>
      <c r="L130" s="8" t="s">
        <v>1136</v>
      </c>
      <c r="M130" s="7" t="s">
        <v>1058</v>
      </c>
      <c r="N130" s="8" t="s">
        <v>1137</v>
      </c>
      <c r="O130" s="7" t="s">
        <v>280</v>
      </c>
      <c r="P130" s="8"/>
      <c r="Q130" s="8"/>
      <c r="R130" s="8"/>
      <c r="S130" s="7" t="s">
        <v>1138</v>
      </c>
      <c r="T130" s="8" t="s">
        <v>1139</v>
      </c>
      <c r="U130" s="7" t="n">
        <v>-29.99727</v>
      </c>
      <c r="V130" s="7" t="n">
        <v>-71.33699</v>
      </c>
      <c r="W130" s="8" t="s">
        <v>281</v>
      </c>
      <c r="X130" s="8" t="s">
        <v>44</v>
      </c>
      <c r="Y130" s="8"/>
    </row>
    <row r="131" customFormat="false" ht="36" hidden="false" customHeight="true" outlineLevel="0" collapsed="false">
      <c r="A131" s="4" t="n">
        <v>127</v>
      </c>
      <c r="B131" s="4" t="n">
        <v>13539</v>
      </c>
      <c r="C131" s="5" t="s">
        <v>1140</v>
      </c>
      <c r="D131" s="4" t="s">
        <v>500</v>
      </c>
      <c r="E131" s="4" t="s">
        <v>110</v>
      </c>
      <c r="F131" s="4" t="s">
        <v>30</v>
      </c>
      <c r="G131" s="6" t="n">
        <v>626</v>
      </c>
      <c r="H131" s="4" t="s">
        <v>1141</v>
      </c>
      <c r="I131" s="4" t="s">
        <v>1142</v>
      </c>
      <c r="J131" s="4" t="s">
        <v>1143</v>
      </c>
      <c r="K131" s="5" t="s">
        <v>1144</v>
      </c>
      <c r="L131" s="13" t="s">
        <v>51</v>
      </c>
      <c r="M131" s="12" t="s">
        <v>51</v>
      </c>
      <c r="N131" s="5" t="s">
        <v>1145</v>
      </c>
      <c r="O131" s="14" t="s">
        <v>506</v>
      </c>
      <c r="P131" s="5"/>
      <c r="Q131" s="5"/>
      <c r="R131" s="5"/>
      <c r="S131" s="4" t="s">
        <v>1146</v>
      </c>
      <c r="T131" s="5" t="s">
        <v>1147</v>
      </c>
      <c r="U131" s="4" t="n">
        <v>-29.996759</v>
      </c>
      <c r="V131" s="4" t="n">
        <v>-71.327881</v>
      </c>
      <c r="W131" s="5" t="s">
        <v>281</v>
      </c>
      <c r="X131" s="5"/>
      <c r="Y131" s="5"/>
    </row>
    <row r="132" customFormat="false" ht="36" hidden="false" customHeight="true" outlineLevel="0" collapsed="false">
      <c r="A132" s="7" t="n">
        <v>128</v>
      </c>
      <c r="B132" s="7" t="n">
        <v>13584</v>
      </c>
      <c r="C132" s="8" t="s">
        <v>1148</v>
      </c>
      <c r="D132" s="7" t="s">
        <v>500</v>
      </c>
      <c r="E132" s="7" t="s">
        <v>519</v>
      </c>
      <c r="F132" s="7" t="s">
        <v>30</v>
      </c>
      <c r="G132" s="9" t="n">
        <v>111</v>
      </c>
      <c r="H132" s="7" t="s">
        <v>1149</v>
      </c>
      <c r="I132" s="7" t="s">
        <v>1150</v>
      </c>
      <c r="J132" s="7" t="s">
        <v>1151</v>
      </c>
      <c r="K132" s="8" t="s">
        <v>1152</v>
      </c>
      <c r="L132" s="10" t="s">
        <v>51</v>
      </c>
      <c r="M132" s="11" t="s">
        <v>51</v>
      </c>
      <c r="N132" s="8" t="s">
        <v>1153</v>
      </c>
      <c r="O132" s="14" t="s">
        <v>506</v>
      </c>
      <c r="P132" s="8"/>
      <c r="Q132" s="8"/>
      <c r="R132" s="8"/>
      <c r="S132" s="7"/>
      <c r="T132" s="8" t="s">
        <v>1154</v>
      </c>
      <c r="U132" s="7" t="n">
        <v>-29.954094</v>
      </c>
      <c r="V132" s="7" t="n">
        <v>-71.27205</v>
      </c>
      <c r="W132" s="8" t="s">
        <v>281</v>
      </c>
      <c r="X132" s="8"/>
      <c r="Y132" s="8"/>
    </row>
    <row r="133" customFormat="false" ht="36" hidden="false" customHeight="true" outlineLevel="0" collapsed="false">
      <c r="A133" s="4" t="n">
        <v>129</v>
      </c>
      <c r="B133" s="4" t="n">
        <v>13633</v>
      </c>
      <c r="C133" s="5" t="s">
        <v>1155</v>
      </c>
      <c r="D133" s="4" t="s">
        <v>500</v>
      </c>
      <c r="E133" s="4" t="s">
        <v>46</v>
      </c>
      <c r="F133" s="4" t="s">
        <v>30</v>
      </c>
      <c r="G133" s="6" t="n">
        <v>492</v>
      </c>
      <c r="H133" s="4" t="s">
        <v>1156</v>
      </c>
      <c r="I133" s="4" t="s">
        <v>1157</v>
      </c>
      <c r="J133" s="4" t="s">
        <v>1158</v>
      </c>
      <c r="K133" s="5" t="s">
        <v>1159</v>
      </c>
      <c r="L133" s="5" t="s">
        <v>1160</v>
      </c>
      <c r="M133" s="4" t="s">
        <v>608</v>
      </c>
      <c r="N133" s="5" t="s">
        <v>1161</v>
      </c>
      <c r="O133" s="14" t="s">
        <v>506</v>
      </c>
      <c r="P133" s="5"/>
      <c r="Q133" s="5"/>
      <c r="R133" s="5"/>
      <c r="S133" s="4" t="s">
        <v>1162</v>
      </c>
      <c r="T133" s="5" t="s">
        <v>1163</v>
      </c>
      <c r="U133" s="4" t="n">
        <v>-29.970921</v>
      </c>
      <c r="V133" s="4" t="n">
        <v>-71.299721</v>
      </c>
      <c r="W133" s="5" t="s">
        <v>281</v>
      </c>
      <c r="X133" s="5" t="s">
        <v>44</v>
      </c>
      <c r="Y133" s="5"/>
    </row>
    <row r="134" customFormat="false" ht="36" hidden="false" customHeight="true" outlineLevel="0" collapsed="false">
      <c r="A134" s="7" t="n">
        <v>130</v>
      </c>
      <c r="B134" s="7" t="n">
        <v>41816</v>
      </c>
      <c r="C134" s="8" t="s">
        <v>1164</v>
      </c>
      <c r="D134" s="7" t="s">
        <v>500</v>
      </c>
      <c r="E134" s="7" t="s">
        <v>29</v>
      </c>
      <c r="F134" s="7" t="s">
        <v>30</v>
      </c>
      <c r="G134" s="9" t="n">
        <v>99</v>
      </c>
      <c r="H134" s="7" t="s">
        <v>1165</v>
      </c>
      <c r="I134" s="7" t="s">
        <v>1166</v>
      </c>
      <c r="J134" s="7" t="s">
        <v>1167</v>
      </c>
      <c r="K134" s="8" t="s">
        <v>1168</v>
      </c>
      <c r="L134" s="10" t="s">
        <v>51</v>
      </c>
      <c r="M134" s="11" t="s">
        <v>51</v>
      </c>
      <c r="N134" s="8" t="s">
        <v>1169</v>
      </c>
      <c r="O134" s="7" t="s">
        <v>280</v>
      </c>
      <c r="P134" s="8"/>
      <c r="Q134" s="8"/>
      <c r="R134" s="8"/>
      <c r="S134" s="7" t="s">
        <v>1170</v>
      </c>
      <c r="T134" s="8" t="s">
        <v>1171</v>
      </c>
      <c r="U134" s="7" t="n">
        <v>-29.991462</v>
      </c>
      <c r="V134" s="7" t="n">
        <v>-71.318708</v>
      </c>
      <c r="W134" s="8" t="s">
        <v>281</v>
      </c>
      <c r="X134" s="8"/>
      <c r="Y134" s="8"/>
    </row>
    <row r="135" customFormat="false" ht="36" hidden="false" customHeight="true" outlineLevel="0" collapsed="false">
      <c r="A135" s="4" t="n">
        <v>131</v>
      </c>
      <c r="B135" s="4" t="n">
        <v>12776</v>
      </c>
      <c r="C135" s="5" t="s">
        <v>1172</v>
      </c>
      <c r="D135" s="4" t="s">
        <v>500</v>
      </c>
      <c r="E135" s="4" t="s">
        <v>29</v>
      </c>
      <c r="F135" s="4" t="s">
        <v>30</v>
      </c>
      <c r="G135" s="6" t="n">
        <v>48</v>
      </c>
      <c r="H135" s="4" t="s">
        <v>1173</v>
      </c>
      <c r="I135" s="4" t="s">
        <v>1174</v>
      </c>
      <c r="J135" s="4" t="s">
        <v>1175</v>
      </c>
      <c r="K135" s="5" t="s">
        <v>1176</v>
      </c>
      <c r="L135" s="13" t="s">
        <v>51</v>
      </c>
      <c r="M135" s="12" t="s">
        <v>51</v>
      </c>
      <c r="N135" s="5" t="s">
        <v>1177</v>
      </c>
      <c r="O135" s="4" t="s">
        <v>280</v>
      </c>
      <c r="P135" s="5"/>
      <c r="Q135" s="5"/>
      <c r="R135" s="5"/>
      <c r="S135" s="4"/>
      <c r="T135" s="5" t="s">
        <v>1178</v>
      </c>
      <c r="U135" s="4" t="n">
        <v>-29.962576</v>
      </c>
      <c r="V135" s="4" t="n">
        <v>-71.339976</v>
      </c>
      <c r="W135" s="5" t="s">
        <v>281</v>
      </c>
      <c r="X135" s="5"/>
      <c r="Y135" s="5"/>
    </row>
    <row r="136" customFormat="false" ht="36" hidden="false" customHeight="true" outlineLevel="0" collapsed="false">
      <c r="A136" s="7" t="n">
        <v>132</v>
      </c>
      <c r="B136" s="7" t="n">
        <v>13625</v>
      </c>
      <c r="C136" s="8" t="s">
        <v>1179</v>
      </c>
      <c r="D136" s="7" t="s">
        <v>500</v>
      </c>
      <c r="E136" s="7" t="s">
        <v>29</v>
      </c>
      <c r="F136" s="7" t="s">
        <v>30</v>
      </c>
      <c r="G136" s="9" t="n">
        <v>109</v>
      </c>
      <c r="H136" s="7" t="s">
        <v>1180</v>
      </c>
      <c r="I136" s="7" t="s">
        <v>1181</v>
      </c>
      <c r="J136" s="7" t="s">
        <v>1182</v>
      </c>
      <c r="K136" s="8" t="s">
        <v>1183</v>
      </c>
      <c r="L136" s="10" t="s">
        <v>51</v>
      </c>
      <c r="M136" s="11" t="s">
        <v>51</v>
      </c>
      <c r="N136" s="8" t="s">
        <v>1184</v>
      </c>
      <c r="O136" s="7" t="s">
        <v>280</v>
      </c>
      <c r="P136" s="8"/>
      <c r="Q136" s="8"/>
      <c r="R136" s="8"/>
      <c r="S136" s="7"/>
      <c r="T136" s="8" t="s">
        <v>1185</v>
      </c>
      <c r="U136" s="7" t="n">
        <v>-29.98256</v>
      </c>
      <c r="V136" s="7" t="n">
        <v>-71.25187</v>
      </c>
      <c r="W136" s="8" t="s">
        <v>281</v>
      </c>
      <c r="X136" s="8"/>
      <c r="Y136" s="8" t="s">
        <v>689</v>
      </c>
    </row>
    <row r="137" customFormat="false" ht="36" hidden="false" customHeight="true" outlineLevel="0" collapsed="false">
      <c r="A137" s="4" t="n">
        <v>133</v>
      </c>
      <c r="B137" s="4" t="n">
        <v>40008</v>
      </c>
      <c r="C137" s="5" t="s">
        <v>1186</v>
      </c>
      <c r="D137" s="4" t="s">
        <v>500</v>
      </c>
      <c r="E137" s="4" t="s">
        <v>519</v>
      </c>
      <c r="F137" s="4" t="s">
        <v>30</v>
      </c>
      <c r="G137" s="6" t="n">
        <v>188</v>
      </c>
      <c r="H137" s="4" t="s">
        <v>1187</v>
      </c>
      <c r="I137" s="4" t="s">
        <v>1188</v>
      </c>
      <c r="J137" s="4" t="s">
        <v>1189</v>
      </c>
      <c r="K137" s="5" t="s">
        <v>1190</v>
      </c>
      <c r="L137" s="13" t="s">
        <v>51</v>
      </c>
      <c r="M137" s="12" t="s">
        <v>51</v>
      </c>
      <c r="N137" s="5" t="s">
        <v>1191</v>
      </c>
      <c r="O137" s="14" t="s">
        <v>506</v>
      </c>
      <c r="P137" s="5"/>
      <c r="Q137" s="5"/>
      <c r="R137" s="5"/>
      <c r="S137" s="4"/>
      <c r="T137" s="5" t="s">
        <v>1192</v>
      </c>
      <c r="U137" s="4" t="n">
        <v>-29.962376</v>
      </c>
      <c r="V137" s="4" t="n">
        <v>-71.26052</v>
      </c>
      <c r="W137" s="5" t="s">
        <v>281</v>
      </c>
      <c r="X137" s="5"/>
      <c r="Y137" s="5"/>
    </row>
    <row r="138" customFormat="false" ht="36" hidden="false" customHeight="true" outlineLevel="0" collapsed="false">
      <c r="A138" s="7" t="n">
        <v>134</v>
      </c>
      <c r="B138" s="7" t="n">
        <v>40153</v>
      </c>
      <c r="C138" s="8" t="s">
        <v>1193</v>
      </c>
      <c r="D138" s="7" t="s">
        <v>500</v>
      </c>
      <c r="E138" s="7" t="s">
        <v>1194</v>
      </c>
      <c r="F138" s="7" t="s">
        <v>30</v>
      </c>
      <c r="G138" s="9" t="n">
        <v>16</v>
      </c>
      <c r="H138" s="7" t="s">
        <v>1195</v>
      </c>
      <c r="I138" s="7" t="s">
        <v>1196</v>
      </c>
      <c r="J138" s="7" t="s">
        <v>1197</v>
      </c>
      <c r="K138" s="8" t="s">
        <v>1198</v>
      </c>
      <c r="L138" s="8" t="s">
        <v>524</v>
      </c>
      <c r="M138" s="7" t="s">
        <v>555</v>
      </c>
      <c r="N138" s="8" t="s">
        <v>1199</v>
      </c>
      <c r="O138" s="7" t="s">
        <v>280</v>
      </c>
      <c r="P138" s="8"/>
      <c r="Q138" s="8"/>
      <c r="R138" s="8"/>
      <c r="S138" s="7" t="s">
        <v>1200</v>
      </c>
      <c r="T138" s="8" t="s">
        <v>1201</v>
      </c>
      <c r="U138" s="7" t="n">
        <v>-29.98452568</v>
      </c>
      <c r="V138" s="7" t="n">
        <v>-71.33649445</v>
      </c>
      <c r="W138" s="8" t="s">
        <v>281</v>
      </c>
      <c r="X138" s="8" t="s">
        <v>44</v>
      </c>
      <c r="Y138" s="8"/>
    </row>
    <row r="139" customFormat="false" ht="36" hidden="false" customHeight="true" outlineLevel="0" collapsed="false">
      <c r="A139" s="4" t="n">
        <v>135</v>
      </c>
      <c r="B139" s="4" t="n">
        <v>13629</v>
      </c>
      <c r="C139" s="5" t="s">
        <v>1202</v>
      </c>
      <c r="D139" s="4" t="s">
        <v>500</v>
      </c>
      <c r="E139" s="4" t="s">
        <v>1194</v>
      </c>
      <c r="F139" s="4" t="s">
        <v>30</v>
      </c>
      <c r="G139" s="6" t="n">
        <v>27</v>
      </c>
      <c r="H139" s="4" t="s">
        <v>1203</v>
      </c>
      <c r="I139" s="4" t="s">
        <v>1204</v>
      </c>
      <c r="J139" s="4" t="s">
        <v>1205</v>
      </c>
      <c r="K139" s="5" t="s">
        <v>1206</v>
      </c>
      <c r="L139" s="13" t="s">
        <v>51</v>
      </c>
      <c r="M139" s="12" t="s">
        <v>51</v>
      </c>
      <c r="N139" s="5" t="s">
        <v>1207</v>
      </c>
      <c r="O139" s="4" t="s">
        <v>280</v>
      </c>
      <c r="P139" s="5"/>
      <c r="Q139" s="5"/>
      <c r="R139" s="5"/>
      <c r="S139" s="4"/>
      <c r="T139" s="5" t="s">
        <v>1208</v>
      </c>
      <c r="U139" s="4" t="n">
        <v>-29.95957565</v>
      </c>
      <c r="V139" s="4" t="n">
        <v>-71.25722504</v>
      </c>
      <c r="W139" s="5" t="s">
        <v>281</v>
      </c>
      <c r="X139" s="5"/>
      <c r="Y139" s="5"/>
    </row>
    <row r="140" customFormat="false" ht="36" hidden="false" customHeight="true" outlineLevel="0" collapsed="false">
      <c r="A140" s="7" t="n">
        <v>136</v>
      </c>
      <c r="B140" s="7" t="n">
        <v>13620</v>
      </c>
      <c r="C140" s="8" t="s">
        <v>1209</v>
      </c>
      <c r="D140" s="7" t="s">
        <v>500</v>
      </c>
      <c r="E140" s="7" t="s">
        <v>1194</v>
      </c>
      <c r="F140" s="7" t="s">
        <v>30</v>
      </c>
      <c r="G140" s="9" t="n">
        <v>33</v>
      </c>
      <c r="H140" s="7" t="s">
        <v>1210</v>
      </c>
      <c r="I140" s="7" t="s">
        <v>1211</v>
      </c>
      <c r="J140" s="7" t="s">
        <v>1212</v>
      </c>
      <c r="K140" s="8" t="s">
        <v>1213</v>
      </c>
      <c r="L140" s="8" t="s">
        <v>1214</v>
      </c>
      <c r="M140" s="7" t="s">
        <v>853</v>
      </c>
      <c r="N140" s="8" t="s">
        <v>1215</v>
      </c>
      <c r="O140" s="7" t="s">
        <v>280</v>
      </c>
      <c r="P140" s="8"/>
      <c r="Q140" s="8"/>
      <c r="R140" s="8"/>
      <c r="S140" s="7"/>
      <c r="T140" s="8" t="s">
        <v>1216</v>
      </c>
      <c r="U140" s="7" t="n">
        <v>-29.97445869</v>
      </c>
      <c r="V140" s="7" t="n">
        <v>-71.26027679</v>
      </c>
      <c r="W140" s="8" t="s">
        <v>281</v>
      </c>
      <c r="X140" s="8" t="s">
        <v>44</v>
      </c>
      <c r="Y140" s="8"/>
    </row>
    <row r="141" customFormat="false" ht="36" hidden="false" customHeight="true" outlineLevel="0" collapsed="false">
      <c r="A141" s="4" t="n">
        <v>137</v>
      </c>
      <c r="B141" s="4" t="n">
        <v>40050</v>
      </c>
      <c r="C141" s="5" t="s">
        <v>1217</v>
      </c>
      <c r="D141" s="4" t="s">
        <v>500</v>
      </c>
      <c r="E141" s="4" t="s">
        <v>1194</v>
      </c>
      <c r="F141" s="4" t="s">
        <v>30</v>
      </c>
      <c r="G141" s="6" t="n">
        <v>7</v>
      </c>
      <c r="H141" s="4" t="s">
        <v>1218</v>
      </c>
      <c r="I141" s="4" t="s">
        <v>1219</v>
      </c>
      <c r="J141" s="4" t="s">
        <v>1220</v>
      </c>
      <c r="K141" s="5" t="s">
        <v>1221</v>
      </c>
      <c r="L141" s="5" t="s">
        <v>1222</v>
      </c>
      <c r="M141" s="4" t="s">
        <v>147</v>
      </c>
      <c r="N141" s="5" t="s">
        <v>1223</v>
      </c>
      <c r="O141" s="4" t="s">
        <v>280</v>
      </c>
      <c r="P141" s="5"/>
      <c r="Q141" s="5"/>
      <c r="R141" s="5"/>
      <c r="S141" s="4"/>
      <c r="T141" s="5" t="s">
        <v>1224</v>
      </c>
      <c r="U141" s="4" t="n">
        <v>-29.97537994</v>
      </c>
      <c r="V141" s="4" t="n">
        <v>-71.32496643</v>
      </c>
      <c r="W141" s="5" t="s">
        <v>281</v>
      </c>
      <c r="X141" s="5" t="s">
        <v>44</v>
      </c>
      <c r="Y141" s="5" t="s">
        <v>689</v>
      </c>
    </row>
    <row r="142" customFormat="false" ht="36" hidden="false" customHeight="true" outlineLevel="0" collapsed="false">
      <c r="A142" s="7" t="n">
        <v>138</v>
      </c>
      <c r="B142" s="7" t="n">
        <v>13405</v>
      </c>
      <c r="C142" s="8" t="s">
        <v>1225</v>
      </c>
      <c r="D142" s="7" t="s">
        <v>500</v>
      </c>
      <c r="E142" s="7" t="s">
        <v>1194</v>
      </c>
      <c r="F142" s="7" t="s">
        <v>30</v>
      </c>
      <c r="G142" s="9" t="n">
        <v>22</v>
      </c>
      <c r="H142" s="7" t="s">
        <v>1226</v>
      </c>
      <c r="I142" s="11" t="s">
        <v>51</v>
      </c>
      <c r="J142" s="7" t="s">
        <v>1227</v>
      </c>
      <c r="K142" s="8" t="s">
        <v>1228</v>
      </c>
      <c r="L142" s="10" t="s">
        <v>51</v>
      </c>
      <c r="M142" s="11" t="s">
        <v>51</v>
      </c>
      <c r="N142" s="8" t="s">
        <v>1229</v>
      </c>
      <c r="O142" s="7" t="s">
        <v>280</v>
      </c>
      <c r="P142" s="8"/>
      <c r="Q142" s="8"/>
      <c r="R142" s="8"/>
      <c r="S142" s="7"/>
      <c r="T142" s="8" t="s">
        <v>1230</v>
      </c>
      <c r="U142" s="7" t="n">
        <v>-29.96411514</v>
      </c>
      <c r="V142" s="7" t="n">
        <v>-71.25543976</v>
      </c>
      <c r="W142" s="8" t="s">
        <v>281</v>
      </c>
      <c r="X142" s="8"/>
      <c r="Y142" s="8"/>
    </row>
    <row r="143" customFormat="false" ht="36" hidden="false" customHeight="true" outlineLevel="0" collapsed="false">
      <c r="A143" s="4" t="n">
        <v>139</v>
      </c>
      <c r="B143" s="4" t="n">
        <v>13529</v>
      </c>
      <c r="C143" s="5" t="s">
        <v>1231</v>
      </c>
      <c r="D143" s="4" t="s">
        <v>500</v>
      </c>
      <c r="E143" s="4" t="s">
        <v>1194</v>
      </c>
      <c r="F143" s="4" t="s">
        <v>30</v>
      </c>
      <c r="G143" s="6" t="n">
        <v>28</v>
      </c>
      <c r="H143" s="4" t="s">
        <v>1232</v>
      </c>
      <c r="I143" s="4" t="s">
        <v>1233</v>
      </c>
      <c r="J143" s="4" t="s">
        <v>1234</v>
      </c>
      <c r="K143" s="5" t="s">
        <v>1235</v>
      </c>
      <c r="L143" s="13" t="s">
        <v>51</v>
      </c>
      <c r="M143" s="12" t="s">
        <v>51</v>
      </c>
      <c r="N143" s="5" t="s">
        <v>1236</v>
      </c>
      <c r="O143" s="4" t="s">
        <v>280</v>
      </c>
      <c r="P143" s="5"/>
      <c r="Q143" s="5"/>
      <c r="R143" s="5"/>
      <c r="S143" s="4"/>
      <c r="T143" s="5" t="s">
        <v>1237</v>
      </c>
      <c r="U143" s="4" t="n">
        <v>-29.97089958</v>
      </c>
      <c r="V143" s="4" t="n">
        <v>-71.25697327</v>
      </c>
      <c r="W143" s="5" t="s">
        <v>281</v>
      </c>
      <c r="X143" s="5"/>
      <c r="Y143" s="5"/>
    </row>
    <row r="144" customFormat="false" ht="36" hidden="false" customHeight="true" outlineLevel="0" collapsed="false">
      <c r="A144" s="7" t="n">
        <v>140</v>
      </c>
      <c r="B144" s="7" t="n">
        <v>13403</v>
      </c>
      <c r="C144" s="8" t="s">
        <v>1238</v>
      </c>
      <c r="D144" s="7" t="s">
        <v>500</v>
      </c>
      <c r="E144" s="7" t="s">
        <v>1194</v>
      </c>
      <c r="F144" s="7" t="s">
        <v>30</v>
      </c>
      <c r="G144" s="9" t="n">
        <v>24</v>
      </c>
      <c r="H144" s="7" t="s">
        <v>1239</v>
      </c>
      <c r="I144" s="7" t="s">
        <v>1240</v>
      </c>
      <c r="J144" s="7" t="s">
        <v>1241</v>
      </c>
      <c r="K144" s="8" t="s">
        <v>1242</v>
      </c>
      <c r="L144" s="10" t="s">
        <v>51</v>
      </c>
      <c r="M144" s="11" t="s">
        <v>51</v>
      </c>
      <c r="N144" s="8" t="s">
        <v>1243</v>
      </c>
      <c r="O144" s="7" t="s">
        <v>280</v>
      </c>
      <c r="P144" s="8"/>
      <c r="Q144" s="8"/>
      <c r="R144" s="8"/>
      <c r="S144" s="7"/>
      <c r="T144" s="8" t="s">
        <v>1244</v>
      </c>
      <c r="U144" s="7" t="n">
        <v>-29.9716568</v>
      </c>
      <c r="V144" s="7" t="n">
        <v>-71.25933838</v>
      </c>
      <c r="W144" s="8" t="s">
        <v>281</v>
      </c>
      <c r="X144" s="8"/>
      <c r="Y144" s="8" t="s">
        <v>539</v>
      </c>
    </row>
    <row r="145" customFormat="false" ht="36" hidden="false" customHeight="true" outlineLevel="0" collapsed="false">
      <c r="A145" s="4" t="n">
        <v>141</v>
      </c>
      <c r="B145" s="4" t="n">
        <v>13361</v>
      </c>
      <c r="C145" s="5" t="s">
        <v>1245</v>
      </c>
      <c r="D145" s="4" t="s">
        <v>500</v>
      </c>
      <c r="E145" s="4" t="s">
        <v>46</v>
      </c>
      <c r="F145" s="4" t="s">
        <v>30</v>
      </c>
      <c r="G145" s="6" t="n">
        <v>997</v>
      </c>
      <c r="H145" s="4" t="s">
        <v>1246</v>
      </c>
      <c r="I145" s="4" t="s">
        <v>1247</v>
      </c>
      <c r="J145" s="4" t="s">
        <v>1248</v>
      </c>
      <c r="K145" s="5" t="s">
        <v>1249</v>
      </c>
      <c r="L145" s="13" t="s">
        <v>51</v>
      </c>
      <c r="M145" s="4" t="s">
        <v>1250</v>
      </c>
      <c r="N145" s="5" t="s">
        <v>1251</v>
      </c>
      <c r="O145" s="14" t="s">
        <v>506</v>
      </c>
      <c r="P145" s="5"/>
      <c r="Q145" s="5"/>
      <c r="R145" s="5"/>
      <c r="S145" s="4" t="s">
        <v>1252</v>
      </c>
      <c r="T145" s="5" t="s">
        <v>1253</v>
      </c>
      <c r="U145" s="4" t="n">
        <v>-29.964211</v>
      </c>
      <c r="V145" s="4" t="n">
        <v>-71.342949</v>
      </c>
      <c r="W145" s="5" t="s">
        <v>281</v>
      </c>
      <c r="X145" s="5" t="s">
        <v>44</v>
      </c>
      <c r="Y145" s="5"/>
    </row>
    <row r="146" customFormat="false" ht="36" hidden="false" customHeight="true" outlineLevel="0" collapsed="false">
      <c r="A146" s="7" t="n">
        <v>142</v>
      </c>
      <c r="B146" s="7" t="n">
        <v>11105</v>
      </c>
      <c r="C146" s="8" t="s">
        <v>1254</v>
      </c>
      <c r="D146" s="7" t="s">
        <v>500</v>
      </c>
      <c r="E146" s="7" t="s">
        <v>46</v>
      </c>
      <c r="F146" s="7" t="s">
        <v>30</v>
      </c>
      <c r="G146" s="9" t="n">
        <v>1088</v>
      </c>
      <c r="H146" s="7" t="s">
        <v>1255</v>
      </c>
      <c r="I146" s="7" t="s">
        <v>1256</v>
      </c>
      <c r="J146" s="7" t="s">
        <v>1257</v>
      </c>
      <c r="K146" s="8" t="s">
        <v>1258</v>
      </c>
      <c r="L146" s="8" t="s">
        <v>1259</v>
      </c>
      <c r="M146" s="7" t="s">
        <v>1260</v>
      </c>
      <c r="N146" s="8" t="s">
        <v>1261</v>
      </c>
      <c r="O146" s="14" t="s">
        <v>506</v>
      </c>
      <c r="P146" s="8"/>
      <c r="Q146" s="8"/>
      <c r="R146" s="8"/>
      <c r="S146" s="7" t="s">
        <v>1262</v>
      </c>
      <c r="T146" s="8" t="s">
        <v>1263</v>
      </c>
      <c r="U146" s="7" t="n">
        <v>-29.96208</v>
      </c>
      <c r="V146" s="7" t="n">
        <v>-71.24765</v>
      </c>
      <c r="W146" s="8" t="s">
        <v>281</v>
      </c>
      <c r="X146" s="8" t="s">
        <v>44</v>
      </c>
      <c r="Y146" s="8"/>
    </row>
    <row r="147" customFormat="false" ht="36" hidden="false" customHeight="true" outlineLevel="0" collapsed="false">
      <c r="A147" s="4" t="n">
        <v>143</v>
      </c>
      <c r="B147" s="4" t="n">
        <v>41132</v>
      </c>
      <c r="C147" s="5" t="s">
        <v>1264</v>
      </c>
      <c r="D147" s="4" t="s">
        <v>500</v>
      </c>
      <c r="E147" s="4" t="s">
        <v>1194</v>
      </c>
      <c r="F147" s="4" t="s">
        <v>30</v>
      </c>
      <c r="G147" s="6" t="n">
        <v>12</v>
      </c>
      <c r="H147" s="4" t="s">
        <v>1265</v>
      </c>
      <c r="I147" s="4" t="s">
        <v>1266</v>
      </c>
      <c r="J147" s="4" t="s">
        <v>1267</v>
      </c>
      <c r="K147" s="5" t="s">
        <v>1268</v>
      </c>
      <c r="L147" s="13" t="s">
        <v>51</v>
      </c>
      <c r="M147" s="4" t="s">
        <v>1269</v>
      </c>
      <c r="N147" s="5" t="s">
        <v>1270</v>
      </c>
      <c r="O147" s="4" t="s">
        <v>280</v>
      </c>
      <c r="P147" s="5"/>
      <c r="Q147" s="5"/>
      <c r="R147" s="5"/>
      <c r="S147" s="4"/>
      <c r="T147" s="5" t="s">
        <v>1271</v>
      </c>
      <c r="U147" s="4" t="n">
        <v>-29.962688</v>
      </c>
      <c r="V147" s="4" t="n">
        <v>-71.261011</v>
      </c>
      <c r="W147" s="5" t="s">
        <v>281</v>
      </c>
      <c r="X147" s="5" t="s">
        <v>44</v>
      </c>
      <c r="Y147" s="5" t="s">
        <v>689</v>
      </c>
    </row>
    <row r="148" customFormat="false" ht="36" hidden="false" customHeight="true" outlineLevel="0" collapsed="false">
      <c r="A148" s="7" t="n">
        <v>144</v>
      </c>
      <c r="B148" s="7" t="n">
        <v>20513</v>
      </c>
      <c r="C148" s="8" t="s">
        <v>1272</v>
      </c>
      <c r="D148" s="7" t="s">
        <v>1273</v>
      </c>
      <c r="E148" s="7" t="s">
        <v>46</v>
      </c>
      <c r="F148" s="7" t="s">
        <v>30</v>
      </c>
      <c r="G148" s="9" t="n">
        <v>787</v>
      </c>
      <c r="H148" s="7" t="s">
        <v>1274</v>
      </c>
      <c r="I148" s="7" t="s">
        <v>1275</v>
      </c>
      <c r="J148" s="7" t="s">
        <v>1276</v>
      </c>
      <c r="K148" s="8" t="s">
        <v>1277</v>
      </c>
      <c r="L148" s="10" t="s">
        <v>51</v>
      </c>
      <c r="M148" s="11" t="s">
        <v>51</v>
      </c>
      <c r="N148" s="8" t="s">
        <v>1278</v>
      </c>
      <c r="O148" s="14" t="s">
        <v>506</v>
      </c>
      <c r="P148" s="8"/>
      <c r="Q148" s="8"/>
      <c r="R148" s="8"/>
      <c r="S148" s="7" t="s">
        <v>1279</v>
      </c>
      <c r="T148" s="8" t="s">
        <v>1280</v>
      </c>
      <c r="U148" s="7" t="n">
        <v>-29.96907</v>
      </c>
      <c r="V148" s="7" t="n">
        <v>-71.29998</v>
      </c>
      <c r="W148" s="8" t="s">
        <v>281</v>
      </c>
      <c r="X148" s="8"/>
      <c r="Y148" s="8"/>
    </row>
    <row r="149" customFormat="false" ht="36" hidden="false" customHeight="true" outlineLevel="0" collapsed="false">
      <c r="A149" s="4" t="n">
        <v>145</v>
      </c>
      <c r="B149" s="4" t="n">
        <v>41018</v>
      </c>
      <c r="C149" s="5" t="s">
        <v>1281</v>
      </c>
      <c r="D149" s="4" t="s">
        <v>1273</v>
      </c>
      <c r="E149" s="4" t="s">
        <v>386</v>
      </c>
      <c r="F149" s="4" t="s">
        <v>30</v>
      </c>
      <c r="G149" s="6" t="n">
        <v>226</v>
      </c>
      <c r="H149" s="4" t="s">
        <v>1282</v>
      </c>
      <c r="I149" s="4" t="s">
        <v>1283</v>
      </c>
      <c r="J149" s="4" t="s">
        <v>1284</v>
      </c>
      <c r="K149" s="5" t="s">
        <v>1285</v>
      </c>
      <c r="L149" s="13" t="s">
        <v>51</v>
      </c>
      <c r="M149" s="12" t="s">
        <v>51</v>
      </c>
      <c r="N149" s="5" t="s">
        <v>1286</v>
      </c>
      <c r="O149" s="14" t="s">
        <v>506</v>
      </c>
      <c r="P149" s="5"/>
      <c r="Q149" s="5"/>
      <c r="R149" s="5"/>
      <c r="S149" s="4" t="s">
        <v>1287</v>
      </c>
      <c r="T149" s="5" t="s">
        <v>1288</v>
      </c>
      <c r="U149" s="4" t="n">
        <v>-29.983309</v>
      </c>
      <c r="V149" s="4" t="n">
        <v>-71.345194</v>
      </c>
      <c r="W149" s="5" t="s">
        <v>281</v>
      </c>
      <c r="X149" s="5"/>
      <c r="Y149" s="5"/>
    </row>
    <row r="150" customFormat="false" ht="36" hidden="false" customHeight="true" outlineLevel="0" collapsed="false">
      <c r="A150" s="7" t="n">
        <v>146</v>
      </c>
      <c r="B150" s="7" t="n">
        <v>13332</v>
      </c>
      <c r="C150" s="8" t="s">
        <v>1289</v>
      </c>
      <c r="D150" s="7" t="s">
        <v>1273</v>
      </c>
      <c r="E150" s="7" t="s">
        <v>386</v>
      </c>
      <c r="F150" s="7" t="s">
        <v>30</v>
      </c>
      <c r="G150" s="9" t="n">
        <v>347</v>
      </c>
      <c r="H150" s="7" t="s">
        <v>1290</v>
      </c>
      <c r="I150" s="7" t="s">
        <v>1291</v>
      </c>
      <c r="J150" s="7" t="s">
        <v>1292</v>
      </c>
      <c r="K150" s="8" t="s">
        <v>1293</v>
      </c>
      <c r="L150" s="10" t="s">
        <v>51</v>
      </c>
      <c r="M150" s="7" t="s">
        <v>1294</v>
      </c>
      <c r="N150" s="8" t="s">
        <v>1295</v>
      </c>
      <c r="O150" s="14" t="s">
        <v>506</v>
      </c>
      <c r="P150" s="8"/>
      <c r="Q150" s="8"/>
      <c r="R150" s="8"/>
      <c r="S150" s="7"/>
      <c r="T150" s="8" t="s">
        <v>1296</v>
      </c>
      <c r="U150" s="7" t="n">
        <v>-29.98781012</v>
      </c>
      <c r="V150" s="7" t="n">
        <v>-71.34183347</v>
      </c>
      <c r="W150" s="8" t="s">
        <v>281</v>
      </c>
      <c r="X150" s="8" t="s">
        <v>44</v>
      </c>
      <c r="Y150" s="8" t="s">
        <v>539</v>
      </c>
    </row>
    <row r="151" customFormat="false" ht="36" hidden="false" customHeight="true" outlineLevel="0" collapsed="false">
      <c r="A151" s="4" t="n">
        <v>147</v>
      </c>
      <c r="B151" s="4" t="n">
        <v>20326</v>
      </c>
      <c r="C151" s="5" t="s">
        <v>1297</v>
      </c>
      <c r="D151" s="4" t="s">
        <v>1273</v>
      </c>
      <c r="E151" s="4" t="s">
        <v>519</v>
      </c>
      <c r="F151" s="4" t="s">
        <v>30</v>
      </c>
      <c r="G151" s="6" t="n">
        <v>53</v>
      </c>
      <c r="H151" s="4" t="s">
        <v>1298</v>
      </c>
      <c r="I151" s="4" t="s">
        <v>1299</v>
      </c>
      <c r="J151" s="4" t="s">
        <v>1300</v>
      </c>
      <c r="K151" s="5" t="s">
        <v>1301</v>
      </c>
      <c r="L151" s="5" t="s">
        <v>1302</v>
      </c>
      <c r="M151" s="4" t="s">
        <v>730</v>
      </c>
      <c r="N151" s="5" t="s">
        <v>1303</v>
      </c>
      <c r="O151" s="14" t="s">
        <v>506</v>
      </c>
      <c r="P151" s="5"/>
      <c r="Q151" s="5"/>
      <c r="R151" s="5"/>
      <c r="S151" s="4" t="s">
        <v>1304</v>
      </c>
      <c r="T151" s="5" t="s">
        <v>1305</v>
      </c>
      <c r="U151" s="4" t="n">
        <v>-29.96345211</v>
      </c>
      <c r="V151" s="4" t="n">
        <v>-71.26163805</v>
      </c>
      <c r="W151" s="5" t="s">
        <v>281</v>
      </c>
      <c r="X151" s="5" t="s">
        <v>44</v>
      </c>
      <c r="Y151" s="5" t="s">
        <v>1306</v>
      </c>
    </row>
    <row r="152" customFormat="false" ht="36" hidden="false" customHeight="true" outlineLevel="0" collapsed="false">
      <c r="A152" s="7" t="n">
        <v>148</v>
      </c>
      <c r="B152" s="7" t="n">
        <v>42079</v>
      </c>
      <c r="C152" s="8" t="s">
        <v>1297</v>
      </c>
      <c r="D152" s="7" t="s">
        <v>1273</v>
      </c>
      <c r="E152" s="7"/>
      <c r="F152" s="7" t="s">
        <v>30</v>
      </c>
      <c r="G152" s="9" t="n">
        <v>0</v>
      </c>
      <c r="H152" s="7" t="s">
        <v>1298</v>
      </c>
      <c r="I152" s="7" t="s">
        <v>1307</v>
      </c>
      <c r="J152" s="7" t="s">
        <v>1308</v>
      </c>
      <c r="K152" s="8" t="s">
        <v>1309</v>
      </c>
      <c r="L152" s="8" t="s">
        <v>1302</v>
      </c>
      <c r="M152" s="7" t="s">
        <v>730</v>
      </c>
      <c r="N152" s="8" t="s">
        <v>1310</v>
      </c>
      <c r="O152" s="7" t="s">
        <v>280</v>
      </c>
      <c r="P152" s="8"/>
      <c r="Q152" s="8"/>
      <c r="R152" s="8"/>
      <c r="S152" s="7" t="s">
        <v>1304</v>
      </c>
      <c r="T152" s="8" t="s">
        <v>1305</v>
      </c>
      <c r="U152" s="7" t="n">
        <v>-29.963522</v>
      </c>
      <c r="V152" s="7" t="n">
        <v>-71.261686</v>
      </c>
      <c r="W152" s="8" t="s">
        <v>281</v>
      </c>
      <c r="X152" s="8" t="s">
        <v>44</v>
      </c>
      <c r="Y152" s="8" t="s">
        <v>1311</v>
      </c>
    </row>
    <row r="153" customFormat="false" ht="36" hidden="false" customHeight="true" outlineLevel="0" collapsed="false">
      <c r="A153" s="4" t="n">
        <v>149</v>
      </c>
      <c r="B153" s="4" t="n">
        <v>13370</v>
      </c>
      <c r="C153" s="5" t="s">
        <v>1312</v>
      </c>
      <c r="D153" s="4" t="s">
        <v>1273</v>
      </c>
      <c r="E153" s="4" t="s">
        <v>386</v>
      </c>
      <c r="F153" s="4" t="s">
        <v>30</v>
      </c>
      <c r="G153" s="6" t="n">
        <v>462</v>
      </c>
      <c r="H153" s="4" t="s">
        <v>1313</v>
      </c>
      <c r="I153" s="4" t="s">
        <v>1314</v>
      </c>
      <c r="J153" s="4" t="s">
        <v>1315</v>
      </c>
      <c r="K153" s="5" t="s">
        <v>1316</v>
      </c>
      <c r="L153" s="5" t="s">
        <v>1317</v>
      </c>
      <c r="M153" s="4" t="s">
        <v>764</v>
      </c>
      <c r="N153" s="5" t="s">
        <v>1318</v>
      </c>
      <c r="O153" s="14" t="s">
        <v>506</v>
      </c>
      <c r="P153" s="5"/>
      <c r="Q153" s="5"/>
      <c r="R153" s="5"/>
      <c r="S153" s="4" t="s">
        <v>1319</v>
      </c>
      <c r="T153" s="5" t="s">
        <v>1320</v>
      </c>
      <c r="U153" s="4" t="n">
        <v>-29.95225595</v>
      </c>
      <c r="V153" s="4" t="n">
        <v>-71.26876285</v>
      </c>
      <c r="W153" s="5" t="s">
        <v>281</v>
      </c>
      <c r="X153" s="5" t="s">
        <v>44</v>
      </c>
      <c r="Y153" s="5"/>
    </row>
    <row r="154" customFormat="false" ht="36" hidden="false" customHeight="true" outlineLevel="0" collapsed="false">
      <c r="A154" s="7" t="n">
        <v>150</v>
      </c>
      <c r="B154" s="7" t="n">
        <v>11103</v>
      </c>
      <c r="C154" s="8" t="s">
        <v>1321</v>
      </c>
      <c r="D154" s="7" t="s">
        <v>1273</v>
      </c>
      <c r="E154" s="7" t="s">
        <v>46</v>
      </c>
      <c r="F154" s="7" t="s">
        <v>30</v>
      </c>
      <c r="G154" s="9" t="n">
        <v>406</v>
      </c>
      <c r="H154" s="7" t="s">
        <v>1322</v>
      </c>
      <c r="I154" s="7" t="s">
        <v>1323</v>
      </c>
      <c r="J154" s="7" t="s">
        <v>1324</v>
      </c>
      <c r="K154" s="8" t="s">
        <v>1325</v>
      </c>
      <c r="L154" s="10" t="s">
        <v>51</v>
      </c>
      <c r="M154" s="7" t="s">
        <v>1260</v>
      </c>
      <c r="N154" s="8" t="s">
        <v>1326</v>
      </c>
      <c r="O154" s="14" t="s">
        <v>506</v>
      </c>
      <c r="P154" s="8"/>
      <c r="Q154" s="8"/>
      <c r="R154" s="8"/>
      <c r="S154" s="7" t="s">
        <v>1327</v>
      </c>
      <c r="T154" s="8" t="s">
        <v>1328</v>
      </c>
      <c r="U154" s="7" t="n">
        <v>-29.96313267</v>
      </c>
      <c r="V154" s="7" t="n">
        <v>-71.33971086</v>
      </c>
      <c r="W154" s="8" t="s">
        <v>281</v>
      </c>
      <c r="X154" s="8" t="s">
        <v>44</v>
      </c>
      <c r="Y154" s="8"/>
    </row>
    <row r="155" customFormat="false" ht="36" hidden="false" customHeight="true" outlineLevel="0" collapsed="false">
      <c r="A155" s="4" t="n">
        <v>151</v>
      </c>
      <c r="B155" s="4" t="n">
        <v>41790</v>
      </c>
      <c r="C155" s="5" t="s">
        <v>1329</v>
      </c>
      <c r="D155" s="4" t="s">
        <v>1273</v>
      </c>
      <c r="E155" s="4"/>
      <c r="F155" s="4" t="s">
        <v>30</v>
      </c>
      <c r="G155" s="6" t="n">
        <v>0</v>
      </c>
      <c r="H155" s="12" t="s">
        <v>51</v>
      </c>
      <c r="I155" s="4" t="s">
        <v>1330</v>
      </c>
      <c r="J155" s="4" t="s">
        <v>1331</v>
      </c>
      <c r="K155" s="5" t="s">
        <v>1332</v>
      </c>
      <c r="L155" s="13" t="s">
        <v>51</v>
      </c>
      <c r="M155" s="12" t="s">
        <v>51</v>
      </c>
      <c r="N155" s="5" t="s">
        <v>1333</v>
      </c>
      <c r="O155" s="4" t="s">
        <v>280</v>
      </c>
      <c r="P155" s="5"/>
      <c r="Q155" s="5"/>
      <c r="R155" s="5"/>
      <c r="S155" s="4"/>
      <c r="T155" s="5" t="s">
        <v>1334</v>
      </c>
      <c r="U155" s="4" t="n">
        <v>-29.9665589</v>
      </c>
      <c r="V155" s="4" t="n">
        <v>-71.2918622</v>
      </c>
      <c r="W155" s="5" t="s">
        <v>281</v>
      </c>
      <c r="X155" s="5"/>
      <c r="Y155" s="5" t="s">
        <v>1335</v>
      </c>
    </row>
    <row r="156" customFormat="false" ht="36" hidden="false" customHeight="true" outlineLevel="0" collapsed="false">
      <c r="A156" s="7" t="n">
        <v>152</v>
      </c>
      <c r="B156" s="7" t="n">
        <v>40057</v>
      </c>
      <c r="C156" s="8" t="s">
        <v>1336</v>
      </c>
      <c r="D156" s="7" t="s">
        <v>1273</v>
      </c>
      <c r="E156" s="7"/>
      <c r="F156" s="7" t="s">
        <v>30</v>
      </c>
      <c r="G156" s="9" t="n">
        <v>0</v>
      </c>
      <c r="H156" s="7" t="s">
        <v>1337</v>
      </c>
      <c r="I156" s="7" t="s">
        <v>1338</v>
      </c>
      <c r="J156" s="7" t="s">
        <v>1339</v>
      </c>
      <c r="K156" s="8" t="s">
        <v>1340</v>
      </c>
      <c r="L156" s="10" t="s">
        <v>51</v>
      </c>
      <c r="M156" s="11" t="s">
        <v>51</v>
      </c>
      <c r="N156" s="8" t="s">
        <v>1341</v>
      </c>
      <c r="O156" s="7" t="s">
        <v>280</v>
      </c>
      <c r="P156" s="8"/>
      <c r="Q156" s="8"/>
      <c r="R156" s="8"/>
      <c r="S156" s="7" t="s">
        <v>1342</v>
      </c>
      <c r="T156" s="8" t="s">
        <v>1343</v>
      </c>
      <c r="U156" s="7" t="n">
        <v>-29.988585</v>
      </c>
      <c r="V156" s="7" t="n">
        <v>-71.33779</v>
      </c>
      <c r="W156" s="8" t="s">
        <v>281</v>
      </c>
      <c r="X156" s="8"/>
      <c r="Y156" s="8" t="s">
        <v>1344</v>
      </c>
    </row>
    <row r="157" customFormat="false" ht="36" hidden="false" customHeight="true" outlineLevel="0" collapsed="false">
      <c r="A157" s="4" t="n">
        <v>153</v>
      </c>
      <c r="B157" s="4" t="n">
        <v>11120</v>
      </c>
      <c r="C157" s="5" t="s">
        <v>1345</v>
      </c>
      <c r="D157" s="4" t="s">
        <v>1273</v>
      </c>
      <c r="E157" s="4"/>
      <c r="F157" s="4" t="s">
        <v>30</v>
      </c>
      <c r="G157" s="6" t="n">
        <v>0</v>
      </c>
      <c r="H157" s="12" t="s">
        <v>51</v>
      </c>
      <c r="I157" s="4" t="s">
        <v>1346</v>
      </c>
      <c r="J157" s="4" t="s">
        <v>1347</v>
      </c>
      <c r="K157" s="5" t="s">
        <v>1348</v>
      </c>
      <c r="L157" s="13" t="s">
        <v>51</v>
      </c>
      <c r="M157" s="12" t="s">
        <v>51</v>
      </c>
      <c r="N157" s="5" t="s">
        <v>1349</v>
      </c>
      <c r="O157" s="4" t="s">
        <v>280</v>
      </c>
      <c r="P157" s="5"/>
      <c r="Q157" s="5"/>
      <c r="R157" s="5"/>
      <c r="S157" s="4"/>
      <c r="T157" s="5" t="s">
        <v>1350</v>
      </c>
      <c r="U157" s="4" t="n">
        <v>-29.95997399</v>
      </c>
      <c r="V157" s="4" t="n">
        <v>-71.34087038</v>
      </c>
      <c r="W157" s="5" t="s">
        <v>281</v>
      </c>
      <c r="X157" s="5"/>
      <c r="Y157" s="5" t="s">
        <v>1351</v>
      </c>
    </row>
    <row r="158" customFormat="false" ht="36" hidden="false" customHeight="true" outlineLevel="0" collapsed="false">
      <c r="A158" s="7" t="n">
        <v>154</v>
      </c>
      <c r="B158" s="7" t="n">
        <v>13544</v>
      </c>
      <c r="C158" s="8" t="s">
        <v>1352</v>
      </c>
      <c r="D158" s="7" t="s">
        <v>1273</v>
      </c>
      <c r="E158" s="7" t="s">
        <v>1194</v>
      </c>
      <c r="F158" s="7" t="s">
        <v>30</v>
      </c>
      <c r="G158" s="9" t="n">
        <v>64</v>
      </c>
      <c r="H158" s="7" t="s">
        <v>1353</v>
      </c>
      <c r="I158" s="7" t="s">
        <v>1354</v>
      </c>
      <c r="J158" s="7" t="s">
        <v>1355</v>
      </c>
      <c r="K158" s="8" t="s">
        <v>1356</v>
      </c>
      <c r="L158" s="10" t="s">
        <v>51</v>
      </c>
      <c r="M158" s="7" t="s">
        <v>853</v>
      </c>
      <c r="N158" s="8" t="s">
        <v>1357</v>
      </c>
      <c r="O158" s="7" t="s">
        <v>280</v>
      </c>
      <c r="P158" s="8"/>
      <c r="Q158" s="8"/>
      <c r="R158" s="8"/>
      <c r="S158" s="7"/>
      <c r="T158" s="8" t="s">
        <v>1358</v>
      </c>
      <c r="U158" s="7" t="n">
        <v>-29.983498</v>
      </c>
      <c r="V158" s="7" t="n">
        <v>-71.337204</v>
      </c>
      <c r="W158" s="8" t="s">
        <v>281</v>
      </c>
      <c r="X158" s="8" t="s">
        <v>44</v>
      </c>
      <c r="Y158" s="8"/>
    </row>
    <row r="159" customFormat="false" ht="36" hidden="false" customHeight="true" outlineLevel="0" collapsed="false">
      <c r="A159" s="4" t="n">
        <v>155</v>
      </c>
      <c r="B159" s="4" t="n">
        <v>13401</v>
      </c>
      <c r="C159" s="5" t="s">
        <v>1359</v>
      </c>
      <c r="D159" s="4" t="s">
        <v>1273</v>
      </c>
      <c r="E159" s="4" t="s">
        <v>1194</v>
      </c>
      <c r="F159" s="4" t="s">
        <v>30</v>
      </c>
      <c r="G159" s="6" t="n">
        <v>17</v>
      </c>
      <c r="H159" s="4" t="s">
        <v>1360</v>
      </c>
      <c r="I159" s="4" t="s">
        <v>1361</v>
      </c>
      <c r="J159" s="4" t="s">
        <v>1362</v>
      </c>
      <c r="K159" s="5" t="s">
        <v>1363</v>
      </c>
      <c r="L159" s="5" t="s">
        <v>524</v>
      </c>
      <c r="M159" s="4" t="s">
        <v>764</v>
      </c>
      <c r="N159" s="5" t="s">
        <v>1364</v>
      </c>
      <c r="O159" s="4" t="s">
        <v>280</v>
      </c>
      <c r="P159" s="5"/>
      <c r="Q159" s="5"/>
      <c r="R159" s="5"/>
      <c r="S159" s="4"/>
      <c r="T159" s="5" t="s">
        <v>1365</v>
      </c>
      <c r="U159" s="4" t="n">
        <v>-29.984518</v>
      </c>
      <c r="V159" s="4" t="n">
        <v>-71.3619</v>
      </c>
      <c r="W159" s="5" t="s">
        <v>281</v>
      </c>
      <c r="X159" s="5" t="s">
        <v>44</v>
      </c>
      <c r="Y159" s="5" t="s">
        <v>689</v>
      </c>
    </row>
    <row r="160" customFormat="false" ht="36" hidden="false" customHeight="true" outlineLevel="0" collapsed="false">
      <c r="A160" s="7" t="n">
        <v>156</v>
      </c>
      <c r="B160" s="7" t="n">
        <v>16969</v>
      </c>
      <c r="C160" s="8" t="s">
        <v>1366</v>
      </c>
      <c r="D160" s="7" t="s">
        <v>1273</v>
      </c>
      <c r="E160" s="7" t="s">
        <v>1194</v>
      </c>
      <c r="F160" s="7" t="s">
        <v>30</v>
      </c>
      <c r="G160" s="9" t="n">
        <v>89</v>
      </c>
      <c r="H160" s="7" t="s">
        <v>1367</v>
      </c>
      <c r="I160" s="7" t="s">
        <v>1368</v>
      </c>
      <c r="J160" s="7" t="s">
        <v>1369</v>
      </c>
      <c r="K160" s="8" t="s">
        <v>1370</v>
      </c>
      <c r="L160" s="10" t="s">
        <v>51</v>
      </c>
      <c r="M160" s="11" t="s">
        <v>51</v>
      </c>
      <c r="N160" s="8" t="s">
        <v>1371</v>
      </c>
      <c r="O160" s="7" t="s">
        <v>280</v>
      </c>
      <c r="P160" s="8"/>
      <c r="Q160" s="8"/>
      <c r="R160" s="8"/>
      <c r="S160" s="7"/>
      <c r="T160" s="8" t="s">
        <v>1288</v>
      </c>
      <c r="U160" s="7" t="n">
        <v>-29.98281</v>
      </c>
      <c r="V160" s="7" t="n">
        <v>-71.34533</v>
      </c>
      <c r="W160" s="8" t="s">
        <v>281</v>
      </c>
      <c r="X160" s="8"/>
      <c r="Y160" s="8" t="s">
        <v>539</v>
      </c>
    </row>
    <row r="161" customFormat="false" ht="36" hidden="false" customHeight="true" outlineLevel="0" collapsed="false">
      <c r="A161" s="4" t="n">
        <v>157</v>
      </c>
      <c r="B161" s="4" t="n">
        <v>41541</v>
      </c>
      <c r="C161" s="5" t="s">
        <v>1372</v>
      </c>
      <c r="D161" s="4" t="s">
        <v>1273</v>
      </c>
      <c r="E161" s="4"/>
      <c r="F161" s="4" t="s">
        <v>30</v>
      </c>
      <c r="G161" s="6" t="n">
        <v>0</v>
      </c>
      <c r="H161" s="12" t="s">
        <v>51</v>
      </c>
      <c r="I161" s="12" t="s">
        <v>51</v>
      </c>
      <c r="J161" s="4" t="s">
        <v>1373</v>
      </c>
      <c r="K161" s="5" t="s">
        <v>1374</v>
      </c>
      <c r="L161" s="13" t="s">
        <v>51</v>
      </c>
      <c r="M161" s="12" t="s">
        <v>51</v>
      </c>
      <c r="N161" s="5" t="s">
        <v>1375</v>
      </c>
      <c r="O161" s="4" t="s">
        <v>280</v>
      </c>
      <c r="P161" s="5"/>
      <c r="Q161" s="5"/>
      <c r="R161" s="5"/>
      <c r="S161" s="4"/>
      <c r="T161" s="5" t="s">
        <v>1376</v>
      </c>
      <c r="U161" s="4" t="n">
        <v>-29.988074</v>
      </c>
      <c r="V161" s="4" t="n">
        <v>-71.350366</v>
      </c>
      <c r="W161" s="5" t="s">
        <v>281</v>
      </c>
      <c r="X161" s="5"/>
      <c r="Y161" s="5" t="s">
        <v>1335</v>
      </c>
    </row>
    <row r="162" customFormat="false" ht="36" hidden="false" customHeight="true" outlineLevel="0" collapsed="false">
      <c r="A162" s="7" t="n">
        <v>158</v>
      </c>
      <c r="B162" s="7" t="n">
        <v>13501</v>
      </c>
      <c r="C162" s="8" t="s">
        <v>1377</v>
      </c>
      <c r="D162" s="7" t="s">
        <v>1273</v>
      </c>
      <c r="E162" s="7"/>
      <c r="F162" s="7" t="s">
        <v>30</v>
      </c>
      <c r="G162" s="9" t="n">
        <v>0</v>
      </c>
      <c r="H162" s="7" t="s">
        <v>1378</v>
      </c>
      <c r="I162" s="7" t="s">
        <v>1379</v>
      </c>
      <c r="J162" s="7" t="s">
        <v>1380</v>
      </c>
      <c r="K162" s="8" t="s">
        <v>1381</v>
      </c>
      <c r="L162" s="10" t="s">
        <v>51</v>
      </c>
      <c r="M162" s="11" t="s">
        <v>51</v>
      </c>
      <c r="N162" s="8" t="s">
        <v>1382</v>
      </c>
      <c r="O162" s="7" t="s">
        <v>280</v>
      </c>
      <c r="P162" s="8"/>
      <c r="Q162" s="8"/>
      <c r="R162" s="8"/>
      <c r="S162" s="7" t="s">
        <v>1383</v>
      </c>
      <c r="T162" s="8" t="s">
        <v>1384</v>
      </c>
      <c r="U162" s="7" t="n">
        <v>-29.966333</v>
      </c>
      <c r="V162" s="7" t="n">
        <v>-71.2475</v>
      </c>
      <c r="W162" s="8" t="s">
        <v>281</v>
      </c>
      <c r="X162" s="8"/>
      <c r="Y162" s="8" t="s">
        <v>1385</v>
      </c>
    </row>
    <row r="163" customFormat="false" ht="36" hidden="false" customHeight="true" outlineLevel="0" collapsed="false">
      <c r="A163" s="4" t="n">
        <v>159</v>
      </c>
      <c r="B163" s="4" t="n">
        <v>13536</v>
      </c>
      <c r="C163" s="5" t="s">
        <v>1386</v>
      </c>
      <c r="D163" s="4" t="s">
        <v>1273</v>
      </c>
      <c r="E163" s="4"/>
      <c r="F163" s="4" t="s">
        <v>30</v>
      </c>
      <c r="G163" s="6" t="n">
        <v>0</v>
      </c>
      <c r="H163" s="4" t="s">
        <v>1387</v>
      </c>
      <c r="I163" s="4" t="s">
        <v>1388</v>
      </c>
      <c r="J163" s="4" t="s">
        <v>1389</v>
      </c>
      <c r="K163" s="5" t="s">
        <v>1390</v>
      </c>
      <c r="L163" s="13" t="s">
        <v>51</v>
      </c>
      <c r="M163" s="12" t="s">
        <v>51</v>
      </c>
      <c r="N163" s="5" t="s">
        <v>1391</v>
      </c>
      <c r="O163" s="4" t="s">
        <v>280</v>
      </c>
      <c r="P163" s="5"/>
      <c r="Q163" s="5"/>
      <c r="R163" s="5"/>
      <c r="S163" s="4" t="s">
        <v>1392</v>
      </c>
      <c r="T163" s="5" t="s">
        <v>1393</v>
      </c>
      <c r="U163" s="4" t="n">
        <v>-29.986458</v>
      </c>
      <c r="V163" s="4" t="n">
        <v>-71.3423</v>
      </c>
      <c r="W163" s="5" t="s">
        <v>281</v>
      </c>
      <c r="X163" s="5"/>
      <c r="Y163" s="5" t="s">
        <v>1344</v>
      </c>
    </row>
    <row r="164" customFormat="false" ht="36" hidden="false" customHeight="true" outlineLevel="0" collapsed="false">
      <c r="A164" s="7" t="n">
        <v>160</v>
      </c>
      <c r="B164" s="7" t="n">
        <v>11122</v>
      </c>
      <c r="C164" s="8" t="s">
        <v>1394</v>
      </c>
      <c r="D164" s="7" t="s">
        <v>1273</v>
      </c>
      <c r="E164" s="7"/>
      <c r="F164" s="7" t="s">
        <v>30</v>
      </c>
      <c r="G164" s="9" t="n">
        <v>0</v>
      </c>
      <c r="H164" s="7" t="s">
        <v>1395</v>
      </c>
      <c r="I164" s="7" t="s">
        <v>1396</v>
      </c>
      <c r="J164" s="7" t="s">
        <v>1397</v>
      </c>
      <c r="K164" s="8" t="s">
        <v>1398</v>
      </c>
      <c r="L164" s="10" t="s">
        <v>51</v>
      </c>
      <c r="M164" s="11" t="s">
        <v>51</v>
      </c>
      <c r="N164" s="8" t="s">
        <v>1399</v>
      </c>
      <c r="O164" s="7" t="s">
        <v>280</v>
      </c>
      <c r="P164" s="8"/>
      <c r="Q164" s="8"/>
      <c r="R164" s="8"/>
      <c r="S164" s="7"/>
      <c r="T164" s="8" t="s">
        <v>1400</v>
      </c>
      <c r="U164" s="7" t="n">
        <v>-29.968548</v>
      </c>
      <c r="V164" s="7" t="n">
        <v>-71.33642</v>
      </c>
      <c r="W164" s="8" t="s">
        <v>281</v>
      </c>
      <c r="X164" s="8"/>
      <c r="Y164" s="8" t="s">
        <v>1344</v>
      </c>
    </row>
    <row r="165" customFormat="false" ht="36" hidden="false" customHeight="true" outlineLevel="0" collapsed="false">
      <c r="A165" s="4" t="n">
        <v>161</v>
      </c>
      <c r="B165" s="4" t="n">
        <v>42164</v>
      </c>
      <c r="C165" s="5" t="s">
        <v>1401</v>
      </c>
      <c r="D165" s="4" t="s">
        <v>1273</v>
      </c>
      <c r="E165" s="4"/>
      <c r="F165" s="4" t="s">
        <v>30</v>
      </c>
      <c r="G165" s="6" t="n">
        <v>0</v>
      </c>
      <c r="H165" s="12" t="s">
        <v>51</v>
      </c>
      <c r="I165" s="4" t="s">
        <v>1402</v>
      </c>
      <c r="J165" s="4" t="s">
        <v>1403</v>
      </c>
      <c r="K165" s="5" t="s">
        <v>1404</v>
      </c>
      <c r="L165" s="13" t="s">
        <v>51</v>
      </c>
      <c r="M165" s="12" t="s">
        <v>51</v>
      </c>
      <c r="N165" s="5" t="s">
        <v>1405</v>
      </c>
      <c r="O165" s="4" t="s">
        <v>280</v>
      </c>
      <c r="P165" s="5"/>
      <c r="Q165" s="5"/>
      <c r="R165" s="5"/>
      <c r="S165" s="4"/>
      <c r="T165" s="5" t="s">
        <v>1406</v>
      </c>
      <c r="U165" s="4"/>
      <c r="V165" s="4"/>
      <c r="W165" s="5" t="s">
        <v>281</v>
      </c>
      <c r="X165" s="5"/>
      <c r="Y165" s="5" t="s">
        <v>1335</v>
      </c>
    </row>
    <row r="166" customFormat="false" ht="36" hidden="false" customHeight="true" outlineLevel="0" collapsed="false">
      <c r="A166" s="7" t="n">
        <v>162</v>
      </c>
      <c r="B166" s="7" t="n">
        <v>42056</v>
      </c>
      <c r="C166" s="8" t="s">
        <v>1407</v>
      </c>
      <c r="D166" s="7" t="s">
        <v>1273</v>
      </c>
      <c r="E166" s="7"/>
      <c r="F166" s="7" t="s">
        <v>30</v>
      </c>
      <c r="G166" s="9" t="n">
        <v>0</v>
      </c>
      <c r="H166" s="11" t="s">
        <v>51</v>
      </c>
      <c r="I166" s="7" t="s">
        <v>1408</v>
      </c>
      <c r="J166" s="7" t="s">
        <v>1409</v>
      </c>
      <c r="K166" s="8" t="s">
        <v>1410</v>
      </c>
      <c r="L166" s="10" t="s">
        <v>51</v>
      </c>
      <c r="M166" s="11" t="s">
        <v>51</v>
      </c>
      <c r="N166" s="8" t="s">
        <v>1411</v>
      </c>
      <c r="O166" s="7" t="s">
        <v>280</v>
      </c>
      <c r="P166" s="8"/>
      <c r="Q166" s="8"/>
      <c r="R166" s="8"/>
      <c r="S166" s="7"/>
      <c r="T166" s="8" t="s">
        <v>1412</v>
      </c>
      <c r="U166" s="7"/>
      <c r="V166" s="7"/>
      <c r="W166" s="8" t="s">
        <v>281</v>
      </c>
      <c r="X166" s="8"/>
      <c r="Y166" s="8" t="s">
        <v>1335</v>
      </c>
    </row>
    <row r="167" customFormat="false" ht="36" hidden="false" customHeight="true" outlineLevel="0" collapsed="false">
      <c r="A167" s="4" t="n">
        <v>163</v>
      </c>
      <c r="B167" s="4" t="n">
        <v>41664</v>
      </c>
      <c r="C167" s="5" t="s">
        <v>1413</v>
      </c>
      <c r="D167" s="4" t="s">
        <v>1273</v>
      </c>
      <c r="E167" s="4"/>
      <c r="F167" s="4" t="s">
        <v>30</v>
      </c>
      <c r="G167" s="6" t="n">
        <v>0</v>
      </c>
      <c r="H167" s="12" t="s">
        <v>51</v>
      </c>
      <c r="I167" s="4" t="s">
        <v>1414</v>
      </c>
      <c r="J167" s="4" t="s">
        <v>1415</v>
      </c>
      <c r="K167" s="5" t="s">
        <v>1416</v>
      </c>
      <c r="L167" s="13" t="s">
        <v>51</v>
      </c>
      <c r="M167" s="12" t="s">
        <v>51</v>
      </c>
      <c r="N167" s="5" t="s">
        <v>1417</v>
      </c>
      <c r="O167" s="4" t="s">
        <v>280</v>
      </c>
      <c r="P167" s="5"/>
      <c r="Q167" s="5"/>
      <c r="R167" s="5"/>
      <c r="S167" s="4"/>
      <c r="T167" s="5" t="s">
        <v>1418</v>
      </c>
      <c r="U167" s="4" t="n">
        <v>-29.9183533</v>
      </c>
      <c r="V167" s="4" t="n">
        <v>-71.2554529</v>
      </c>
      <c r="W167" s="5" t="s">
        <v>281</v>
      </c>
      <c r="X167" s="5"/>
      <c r="Y167" s="5" t="s">
        <v>1419</v>
      </c>
    </row>
    <row r="168" customFormat="false" ht="36" hidden="false" customHeight="true" outlineLevel="0" collapsed="false">
      <c r="A168" s="7" t="n">
        <v>164</v>
      </c>
      <c r="B168" s="7" t="s">
        <v>280</v>
      </c>
      <c r="C168" s="8" t="s">
        <v>1420</v>
      </c>
      <c r="D168" s="7" t="s">
        <v>1421</v>
      </c>
      <c r="E168" s="7" t="s">
        <v>1422</v>
      </c>
      <c r="F168" s="7" t="s">
        <v>30</v>
      </c>
      <c r="G168" s="9" t="s">
        <v>51</v>
      </c>
      <c r="H168" s="7" t="s">
        <v>1423</v>
      </c>
      <c r="I168" s="7" t="s">
        <v>1424</v>
      </c>
      <c r="J168" s="7" t="s">
        <v>1425</v>
      </c>
      <c r="K168" s="8" t="s">
        <v>1426</v>
      </c>
      <c r="L168" s="8" t="s">
        <v>51</v>
      </c>
      <c r="M168" s="7" t="s">
        <v>625</v>
      </c>
      <c r="N168" s="8" t="s">
        <v>1427</v>
      </c>
      <c r="O168" s="15" t="s">
        <v>506</v>
      </c>
      <c r="P168" s="8"/>
      <c r="Q168" s="8"/>
      <c r="R168" s="8"/>
      <c r="S168" s="7" t="s">
        <v>1428</v>
      </c>
      <c r="T168" s="8" t="s">
        <v>1429</v>
      </c>
      <c r="U168" s="7"/>
      <c r="V168" s="7"/>
      <c r="W168" s="8" t="s">
        <v>1430</v>
      </c>
      <c r="X168" s="8"/>
      <c r="Y168" s="8" t="s">
        <v>1431</v>
      </c>
    </row>
    <row r="169" customFormat="false" ht="36" hidden="false" customHeight="true" outlineLevel="0" collapsed="false">
      <c r="A169" s="4" t="n">
        <v>165</v>
      </c>
      <c r="B169" s="4" t="s">
        <v>280</v>
      </c>
      <c r="C169" s="5" t="s">
        <v>1432</v>
      </c>
      <c r="D169" s="4" t="s">
        <v>1433</v>
      </c>
      <c r="E169" s="4" t="s">
        <v>1434</v>
      </c>
      <c r="F169" s="4" t="s">
        <v>30</v>
      </c>
      <c r="G169" s="6" t="s">
        <v>51</v>
      </c>
      <c r="H169" s="4" t="s">
        <v>1435</v>
      </c>
      <c r="I169" s="4" t="s">
        <v>1436</v>
      </c>
      <c r="J169" s="4" t="s">
        <v>51</v>
      </c>
      <c r="K169" s="5" t="s">
        <v>1437</v>
      </c>
      <c r="L169" s="5" t="s">
        <v>1438</v>
      </c>
      <c r="M169" s="4" t="s">
        <v>425</v>
      </c>
      <c r="N169" s="5" t="s">
        <v>1439</v>
      </c>
      <c r="O169" s="15" t="s">
        <v>506</v>
      </c>
      <c r="P169" s="5"/>
      <c r="Q169" s="5"/>
      <c r="R169" s="5"/>
      <c r="S169" s="4" t="s">
        <v>1440</v>
      </c>
      <c r="T169" s="5" t="s">
        <v>1441</v>
      </c>
      <c r="U169" s="4"/>
      <c r="V169" s="4"/>
      <c r="W169" s="5" t="s">
        <v>1442</v>
      </c>
      <c r="X169" s="5" t="s">
        <v>1443</v>
      </c>
      <c r="Y169" s="5" t="s">
        <v>1444</v>
      </c>
    </row>
  </sheetData>
  <autoFilter ref="A4:Y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0" width="38"/>
    <col collapsed="false" customWidth="true" hidden="false" outlineLevel="0" max="7" min="2" style="0" width="17"/>
  </cols>
  <sheetData>
    <row r="1" customFormat="false" ht="16.5" hidden="false" customHeight="true" outlineLevel="0" collapsed="false">
      <c r="A1" s="16" t="s">
        <v>1445</v>
      </c>
    </row>
    <row r="3" customFormat="false" ht="31.5" hidden="false" customHeight="true" outlineLevel="0" collapsed="false">
      <c r="A3" s="17" t="s">
        <v>5</v>
      </c>
      <c r="B3" s="17" t="s">
        <v>1446</v>
      </c>
      <c r="C3" s="17" t="s">
        <v>8</v>
      </c>
      <c r="D3" s="17" t="s">
        <v>1447</v>
      </c>
      <c r="E3" s="17" t="s">
        <v>1448</v>
      </c>
      <c r="F3" s="17" t="s">
        <v>1449</v>
      </c>
      <c r="G3" s="17" t="s">
        <v>1450</v>
      </c>
    </row>
    <row r="4" customFormat="false" ht="15" hidden="false" customHeight="false" outlineLevel="0" collapsed="false">
      <c r="A4" s="18" t="s">
        <v>28</v>
      </c>
      <c r="B4" s="18" t="n">
        <f aca="false">COUNTIF(Base!$D$5:$D$169,A4)</f>
        <v>39</v>
      </c>
      <c r="C4" s="19" t="n">
        <f aca="false">SUMIF(Base!$D$5:$D$169,A4,Base!$G$5:$G$169)</f>
        <v>12879</v>
      </c>
      <c r="D4" s="18" t="n">
        <f aca="false">COUNTIFS(Base!$D$5:$D$169,A4,Base!$H$5:$H$169,"&lt;&gt;Sin información")</f>
        <v>38</v>
      </c>
      <c r="E4" s="18" t="n">
        <f aca="false">COUNTIFS(Base!$D$5:$D$169,A4,Base!$L$5:$L$169,"&lt;&gt;Sin información")</f>
        <v>34</v>
      </c>
      <c r="F4" s="18" t="n">
        <f aca="false">COUNTIFS(Base!$D$5:$D$169,A4,Base!$O$5:$O$169,"&lt;&gt;Por completar",Base!$O$5:$O$169,"&lt;&gt;No aplica")</f>
        <v>38</v>
      </c>
      <c r="G4" s="18" t="n">
        <f aca="false">COUNTIFS(Base!$D$5:$D$169,A4,Base!$O$5:$O$169,"Por completar")</f>
        <v>0</v>
      </c>
    </row>
    <row r="5" customFormat="false" ht="15" hidden="false" customHeight="false" outlineLevel="0" collapsed="false">
      <c r="A5" s="18" t="s">
        <v>451</v>
      </c>
      <c r="B5" s="18" t="n">
        <f aca="false">COUNTIF(Base!$D$5:$D$169,A5)</f>
        <v>9</v>
      </c>
      <c r="C5" s="19" t="n">
        <f aca="false">SUMIF(Base!$D$5:$D$169,A5,Base!$G$5:$G$169)</f>
        <v>0</v>
      </c>
      <c r="D5" s="18" t="n">
        <f aca="false">COUNTIFS(Base!$D$5:$D$169,A5,Base!$H$5:$H$169,"&lt;&gt;Sin información")</f>
        <v>9</v>
      </c>
      <c r="E5" s="18" t="n">
        <f aca="false">COUNTIFS(Base!$D$5:$D$169,A5,Base!$L$5:$L$169,"&lt;&gt;Sin información")</f>
        <v>1</v>
      </c>
      <c r="F5" s="18" t="n">
        <f aca="false">COUNTIFS(Base!$D$5:$D$169,A5,Base!$O$5:$O$169,"&lt;&gt;Por completar",Base!$O$5:$O$169,"&lt;&gt;No aplica")</f>
        <v>0</v>
      </c>
      <c r="G5" s="18" t="n">
        <f aca="false">COUNTIFS(Base!$D$5:$D$169,A5,Base!$O$5:$O$169,"Por completar")</f>
        <v>0</v>
      </c>
    </row>
    <row r="6" customFormat="false" ht="15" hidden="false" customHeight="false" outlineLevel="0" collapsed="false">
      <c r="A6" s="18" t="s">
        <v>500</v>
      </c>
      <c r="B6" s="18" t="n">
        <f aca="false">COUNTIF(Base!$D$5:$D$169,A6)</f>
        <v>95</v>
      </c>
      <c r="C6" s="19" t="n">
        <f aca="false">SUMIF(Base!$D$5:$D$169,A6,Base!$G$5:$G$169)</f>
        <v>32690</v>
      </c>
      <c r="D6" s="18" t="n">
        <f aca="false">COUNTIFS(Base!$D$5:$D$169,A6,Base!$H$5:$H$169,"&lt;&gt;Sin información")</f>
        <v>95</v>
      </c>
      <c r="E6" s="18" t="n">
        <f aca="false">COUNTIFS(Base!$D$5:$D$169,A6,Base!$L$5:$L$169,"&lt;&gt;Sin información")</f>
        <v>30</v>
      </c>
      <c r="F6" s="18" t="n">
        <f aca="false">COUNTIFS(Base!$D$5:$D$169,A6,Base!$O$5:$O$169,"&lt;&gt;Por completar",Base!$O$5:$O$169,"&lt;&gt;No aplica")</f>
        <v>0</v>
      </c>
      <c r="G6" s="18" t="n">
        <f aca="false">COUNTIFS(Base!$D$5:$D$169,A6,Base!$O$5:$O$169,"Por completar")</f>
        <v>50</v>
      </c>
    </row>
    <row r="7" customFormat="false" ht="15" hidden="false" customHeight="false" outlineLevel="0" collapsed="false">
      <c r="A7" s="18" t="s">
        <v>1273</v>
      </c>
      <c r="B7" s="18" t="n">
        <f aca="false">COUNTIF(Base!$D$5:$D$169,A7)</f>
        <v>20</v>
      </c>
      <c r="C7" s="19" t="n">
        <f aca="false">SUMIF(Base!$D$5:$D$169,A7,Base!$G$5:$G$169)</f>
        <v>2451</v>
      </c>
      <c r="D7" s="18" t="n">
        <f aca="false">COUNTIFS(Base!$D$5:$D$169,A7,Base!$H$5:$H$169,"&lt;&gt;Sin información")</f>
        <v>14</v>
      </c>
      <c r="E7" s="18" t="n">
        <f aca="false">COUNTIFS(Base!$D$5:$D$169,A7,Base!$L$5:$L$169,"&lt;&gt;Sin información")</f>
        <v>4</v>
      </c>
      <c r="F7" s="18" t="n">
        <f aca="false">COUNTIFS(Base!$D$5:$D$169,A7,Base!$O$5:$O$169,"&lt;&gt;Por completar",Base!$O$5:$O$169,"&lt;&gt;No aplica")</f>
        <v>0</v>
      </c>
      <c r="G7" s="18" t="n">
        <f aca="false">COUNTIFS(Base!$D$5:$D$169,A7,Base!$O$5:$O$169,"Por completar")</f>
        <v>6</v>
      </c>
    </row>
    <row r="8" customFormat="false" ht="15" hidden="false" customHeight="false" outlineLevel="0" collapsed="false">
      <c r="A8" s="18" t="s">
        <v>1421</v>
      </c>
      <c r="B8" s="18" t="n">
        <f aca="false">COUNTIF(Base!$D$5:$D$169,A8)</f>
        <v>1</v>
      </c>
      <c r="C8" s="19" t="n">
        <f aca="false">SUMIF(Base!$D$5:$D$169,A8,Base!$G$5:$G$169)</f>
        <v>0</v>
      </c>
      <c r="D8" s="18" t="n">
        <f aca="false">COUNTIFS(Base!$D$5:$D$169,A8,Base!$H$5:$H$169,"&lt;&gt;Sin información")</f>
        <v>1</v>
      </c>
      <c r="E8" s="18" t="n">
        <f aca="false">COUNTIFS(Base!$D$5:$D$169,A8,Base!$L$5:$L$169,"&lt;&gt;Sin información")</f>
        <v>0</v>
      </c>
      <c r="F8" s="18" t="n">
        <f aca="false">COUNTIFS(Base!$D$5:$D$169,A8,Base!$O$5:$O$169,"&lt;&gt;Por completar",Base!$O$5:$O$169,"&lt;&gt;No aplica")</f>
        <v>0</v>
      </c>
      <c r="G8" s="18" t="n">
        <f aca="false">COUNTIFS(Base!$D$5:$D$169,A8,Base!$O$5:$O$169,"Por completar")</f>
        <v>1</v>
      </c>
    </row>
    <row r="9" customFormat="false" ht="15" hidden="false" customHeight="false" outlineLevel="0" collapsed="false">
      <c r="A9" s="18" t="s">
        <v>1433</v>
      </c>
      <c r="B9" s="18" t="n">
        <f aca="false">COUNTIF(Base!$D$5:$D$169,A9)</f>
        <v>1</v>
      </c>
      <c r="C9" s="19" t="n">
        <f aca="false">SUMIF(Base!$D$5:$D$169,A9,Base!$G$5:$G$169)</f>
        <v>0</v>
      </c>
      <c r="D9" s="18" t="n">
        <f aca="false">COUNTIFS(Base!$D$5:$D$169,A9,Base!$H$5:$H$169,"&lt;&gt;Sin información")</f>
        <v>1</v>
      </c>
      <c r="E9" s="18" t="n">
        <f aca="false">COUNTIFS(Base!$D$5:$D$169,A9,Base!$L$5:$L$169,"&lt;&gt;Sin información")</f>
        <v>1</v>
      </c>
      <c r="F9" s="18" t="n">
        <f aca="false">COUNTIFS(Base!$D$5:$D$169,A9,Base!$O$5:$O$169,"&lt;&gt;Por completar",Base!$O$5:$O$169,"&lt;&gt;No aplica")</f>
        <v>0</v>
      </c>
      <c r="G9" s="18" t="n">
        <f aca="false">COUNTIFS(Base!$D$5:$D$169,A9,Base!$O$5:$O$169,"Por completar")</f>
        <v>1</v>
      </c>
    </row>
    <row r="10" customFormat="false" ht="15" hidden="false" customHeight="false" outlineLevel="0" collapsed="false">
      <c r="A10" s="20" t="s">
        <v>1451</v>
      </c>
      <c r="B10" s="20" t="n">
        <f aca="false">SUM(B4:B9)</f>
        <v>165</v>
      </c>
      <c r="C10" s="21" t="n">
        <f aca="false">SUM(C4:C9)</f>
        <v>48020</v>
      </c>
      <c r="D10" s="20" t="n">
        <f aca="false">SUM(D4:D9)</f>
        <v>158</v>
      </c>
      <c r="E10" s="20" t="n">
        <f aca="false">SUM(E4:E9)</f>
        <v>70</v>
      </c>
      <c r="F10" s="20" t="n">
        <f aca="false">SUM(F4:F9)</f>
        <v>38</v>
      </c>
      <c r="G10" s="20" t="n">
        <f aca="false">SUM(G4:G9)</f>
        <v>58</v>
      </c>
    </row>
    <row r="12" customFormat="false" ht="15" hidden="false" customHeight="false" outlineLevel="0" collapsed="false">
      <c r="A12" s="2" t="s">
        <v>1452</v>
      </c>
    </row>
    <row r="13" customFormat="false" ht="15" hidden="false" customHeight="false" outlineLevel="0" collapsed="false">
      <c r="A13" s="2" t="s">
        <v>1453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0" width="32"/>
    <col collapsed="false" customWidth="true" hidden="false" outlineLevel="0" max="2" min="2" style="0" width="120"/>
  </cols>
  <sheetData>
    <row r="1" customFormat="false" ht="15.75" hidden="false" customHeight="true" outlineLevel="0" collapsed="false">
      <c r="A1" s="22" t="s">
        <v>1454</v>
      </c>
    </row>
    <row r="2" customFormat="false" ht="25.5" hidden="false" customHeight="true" outlineLevel="0" collapsed="false">
      <c r="A2" s="23" t="s">
        <v>1455</v>
      </c>
      <c r="B2" s="24" t="s">
        <v>1456</v>
      </c>
    </row>
    <row r="3" customFormat="false" ht="25.5" hidden="false" customHeight="true" outlineLevel="0" collapsed="false">
      <c r="A3" s="23" t="s">
        <v>1457</v>
      </c>
      <c r="B3" s="24" t="s">
        <v>1458</v>
      </c>
    </row>
    <row r="4" customFormat="false" ht="25.5" hidden="false" customHeight="true" outlineLevel="0" collapsed="false">
      <c r="A4" s="23" t="s">
        <v>1459</v>
      </c>
      <c r="B4" s="24" t="s">
        <v>1460</v>
      </c>
    </row>
    <row r="5" customFormat="false" ht="25.5" hidden="false" customHeight="true" outlineLevel="0" collapsed="false">
      <c r="A5" s="23" t="s">
        <v>1461</v>
      </c>
      <c r="B5" s="24" t="s">
        <v>1462</v>
      </c>
    </row>
    <row r="6" customFormat="false" ht="38.25" hidden="false" customHeight="true" outlineLevel="0" collapsed="false">
      <c r="A6" s="23" t="s">
        <v>1463</v>
      </c>
      <c r="B6" s="24" t="s">
        <v>1464</v>
      </c>
    </row>
    <row r="7" customFormat="false" ht="15.75" hidden="false" customHeight="true" outlineLevel="0" collapsed="false">
      <c r="A7" s="22" t="s">
        <v>1465</v>
      </c>
    </row>
    <row r="8" customFormat="false" ht="25.5" hidden="false" customHeight="true" outlineLevel="0" collapsed="false">
      <c r="A8" s="23" t="s">
        <v>1466</v>
      </c>
      <c r="B8" s="24" t="s">
        <v>1467</v>
      </c>
    </row>
    <row r="9" customFormat="false" ht="25.5" hidden="false" customHeight="true" outlineLevel="0" collapsed="false">
      <c r="A9" s="23" t="s">
        <v>1468</v>
      </c>
      <c r="B9" s="24" t="s">
        <v>1469</v>
      </c>
    </row>
    <row r="10" customFormat="false" ht="63.75" hidden="false" customHeight="true" outlineLevel="0" collapsed="false">
      <c r="A10" s="23" t="s">
        <v>1470</v>
      </c>
      <c r="B10" s="24" t="s">
        <v>1471</v>
      </c>
    </row>
    <row r="11" customFormat="false" ht="38.25" hidden="false" customHeight="true" outlineLevel="0" collapsed="false">
      <c r="A11" s="23" t="s">
        <v>1472</v>
      </c>
      <c r="B11" s="24" t="s">
        <v>1473</v>
      </c>
    </row>
    <row r="12" customFormat="false" ht="25.5" hidden="false" customHeight="true" outlineLevel="0" collapsed="false">
      <c r="A12" s="23" t="s">
        <v>1474</v>
      </c>
      <c r="B12" s="24" t="s">
        <v>1475</v>
      </c>
    </row>
    <row r="13" customFormat="false" ht="25.5" hidden="false" customHeight="true" outlineLevel="0" collapsed="false">
      <c r="A13" s="23" t="s">
        <v>1476</v>
      </c>
      <c r="B13" s="24" t="s">
        <v>1477</v>
      </c>
    </row>
    <row r="14" customFormat="false" ht="25.5" hidden="false" customHeight="true" outlineLevel="0" collapsed="false">
      <c r="A14" s="23" t="s">
        <v>1478</v>
      </c>
      <c r="B14" s="24" t="s">
        <v>1479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2026-10-05T19:20:13Z</dcterms:created>
  <dc:creator>openpyxl</dc:creator>
  <dc:description/>
  <dc:language>en-US</dc:language>
  <cp:lastModifiedBy>U-3432</cp:lastModifiedBy>
  <dcterms:modified xsi:type="dcterms:W3CDTF">2026-10-23T13:19:56Z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