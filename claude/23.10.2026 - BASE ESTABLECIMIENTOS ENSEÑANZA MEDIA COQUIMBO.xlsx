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e" sheetId="1" state="visible" r:id="rId3"/>
    <sheet name="Resumen" sheetId="2" state="visible" r:id="rId4"/>
    <sheet name="Fuentes y notas" sheetId="3" state="visible" r:id="rId5"/>
  </sheets>
  <definedNames>
    <definedName function="false" hidden="true" localSheetId="0" name="_xlnm._FilterDatabase" vbProcedure="false">Base!$A$4:$Y$47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O4" authorId="0">
      <text>
        <r>
          <rPr>
            <sz val="10"/>
            <rFont val="Arial"/>
            <family val="2"/>
          </rPr>
          <t xml:space="preserve">Establecimientos públicos: nómina 2026 del SLEP Puerto Cordillera (38 casos). Particulares: no hay registro público; completar con lo que informe cada establecimiento. Datos de menores de edad: uso restringido (ver hoja Fuentes y notas).</t>
        </r>
      </text>
    </comment>
  </commentList>
</comments>
</file>

<file path=xl/sharedStrings.xml><?xml version="1.0" encoding="utf-8"?>
<sst xmlns="http://schemas.openxmlformats.org/spreadsheetml/2006/main" count="776" uniqueCount="487">
  <si>
    <t xml:space="preserve">Establecimientos con enseñanza media (1° a 4° medio) de la comuna de Coquimbo</t>
  </si>
  <si>
    <t xml:space="preserve">Corte: 23.10.2026. Se filtró la base 2.1 (Directorio Oficial MINEDUC 2025) y quedan los 43 establecimientos que imparten enseñanza media regular, científico-humanista (HC) o técnico-profesional (TP). La matrícula 2025 es la total del establecimiento, de todos sus niveles. Celdas amarillas: por completar.</t>
  </si>
  <si>
    <t xml:space="preserve">N°</t>
  </si>
  <si>
    <t xml:space="preserve">RBD</t>
  </si>
  <si>
    <t xml:space="preserve">Nombre</t>
  </si>
  <si>
    <t xml:space="preserve">Dependencia</t>
  </si>
  <si>
    <t xml:space="preserve">Niveles</t>
  </si>
  <si>
    <t xml:space="preserve">Zona</t>
  </si>
  <si>
    <t xml:space="preserve">Matrícula 2025</t>
  </si>
  <si>
    <t xml:space="preserve">Director</t>
  </si>
  <si>
    <t xml:space="preserve">Fono institucional</t>
  </si>
  <si>
    <t xml:space="preserve">E-mail</t>
  </si>
  <si>
    <t xml:space="preserve">Dirección</t>
  </si>
  <si>
    <t xml:space="preserve">Aniversario</t>
  </si>
  <si>
    <t xml:space="preserve">Año de fundación</t>
  </si>
  <si>
    <t xml:space="preserve">Reconocimiento oficial (MINEDUC)</t>
  </si>
  <si>
    <t xml:space="preserve">Presidente/a centro de estudiantes</t>
  </si>
  <si>
    <t xml:space="preserve">Cargo (gobierno estudiantil)</t>
  </si>
  <si>
    <t xml:space="preserve">Correo presidente/a CEAL</t>
  </si>
  <si>
    <t xml:space="preserve">Fuente CEAL</t>
  </si>
  <si>
    <t xml:space="preserve">Sitio web</t>
  </si>
  <si>
    <t xml:space="preserve">Sostenedor</t>
  </si>
  <si>
    <t xml:space="preserve">Latitud</t>
  </si>
  <si>
    <t xml:space="preserve">Longitud</t>
  </si>
  <si>
    <t xml:space="preserve">Fuente contacto</t>
  </si>
  <si>
    <t xml:space="preserve">Fuente aniversario</t>
  </si>
  <si>
    <t xml:space="preserve">Observaciones</t>
  </si>
  <si>
    <t xml:space="preserve">Colegio Cardenal Jose Maria Caro</t>
  </si>
  <si>
    <t xml:space="preserve">Pública (SLEP Puerto Cordillera)</t>
  </si>
  <si>
    <t xml:space="preserve">Parvularia, Básica, Media HC</t>
  </si>
  <si>
    <t xml:space="preserve">Urbana</t>
  </si>
  <si>
    <t xml:space="preserve">Domitila Pérez Díaz</t>
  </si>
  <si>
    <t xml:space="preserve">+56 44 369 1107</t>
  </si>
  <si>
    <t xml:space="preserve">esc.cardenaljosemariacaro@slepuertocordillera.cl</t>
  </si>
  <si>
    <t xml:space="preserve">Cardenal Caro N°701- sector El Llano</t>
  </si>
  <si>
    <t xml:space="preserve">Sin información</t>
  </si>
  <si>
    <t xml:space="preserve">Resolución exenta 10049 de fecha 15/12/1981</t>
  </si>
  <si>
    <t xml:space="preserve">Annais Victoria Badilla Valdivia</t>
  </si>
  <si>
    <t xml:space="preserve">Presidenta</t>
  </si>
  <si>
    <t xml:space="preserve">annaisbadillavaldivia@gmail.com</t>
  </si>
  <si>
    <t xml:space="preserve">SLEP Puerto Cordillera, nómina presidentas/es centros de estudiantes 2026</t>
  </si>
  <si>
    <t xml:space="preserve">Servicio Local De Educación Pública Puerto Cordillera</t>
  </si>
  <si>
    <t xml:space="preserve">SLEP Puerto Cordillera, tabla de establecimientos (act. 07.05.2026)</t>
  </si>
  <si>
    <t xml:space="preserve">Director según tabla SLEP; MIME registra a Eduardo Andrés Alfaro Espinoza: confirmar</t>
  </si>
  <si>
    <t xml:space="preserve">Colegio Pablo Neruda</t>
  </si>
  <si>
    <t xml:space="preserve">Parvularia, Básica, Media HC, Media TP</t>
  </si>
  <si>
    <t xml:space="preserve">Rural</t>
  </si>
  <si>
    <t xml:space="preserve">Manuel Salas López</t>
  </si>
  <si>
    <t xml:space="preserve">+56 51 223 9861</t>
  </si>
  <si>
    <t xml:space="preserve">col.pabloneruda@slepuertocordillera.cl</t>
  </si>
  <si>
    <t xml:space="preserve">RUTA D409 Km 18 – Camino Interior N°9505 – Pan de Azúcar</t>
  </si>
  <si>
    <t xml:space="preserve">Julio (celebración)</t>
  </si>
  <si>
    <t xml:space="preserve">1891</t>
  </si>
  <si>
    <t xml:space="preserve">Resolución exenta 10046 de fecha 15/12/1981</t>
  </si>
  <si>
    <t xml:space="preserve">Antonia Vera Cofré</t>
  </si>
  <si>
    <t xml:space="preserve">cofre.antonia30@gmail.com</t>
  </si>
  <si>
    <t xml:space="preserve">Noticias SLEP Puerto Cordillera (128 años, julio 2019)</t>
  </si>
  <si>
    <t xml:space="preserve">Director según tabla SLEP; MIME registra a Carla Francisca Álvarez Ibáñez: confirmar</t>
  </si>
  <si>
    <t xml:space="preserve">Colegio de Artes Claudio Arrau</t>
  </si>
  <si>
    <t xml:space="preserve">Jorge Alberto Ríos Ruiz</t>
  </si>
  <si>
    <t xml:space="preserve">+56 51 232 8751</t>
  </si>
  <si>
    <t xml:space="preserve">col.artesclaudioarrau@slepuertocordillera.cl</t>
  </si>
  <si>
    <t xml:space="preserve">Avda. Videla N°199</t>
  </si>
  <si>
    <t xml:space="preserve">3 de septiembre (PEI); el acto se ha celebrado en mayo</t>
  </si>
  <si>
    <t xml:space="preserve">1834</t>
  </si>
  <si>
    <t xml:space="preserve">Resolución exenta 10034 de fecha 15/12/1981</t>
  </si>
  <si>
    <t xml:space="preserve">Amparo Daira Yañez Nuñez</t>
  </si>
  <si>
    <t xml:space="preserve">ayanezn2872@gmail.com</t>
  </si>
  <si>
    <t xml:space="preserve">www.arraucoquimbo.cl</t>
  </si>
  <si>
    <t xml:space="preserve">PEI del establecimiento (MINEDUC); Noticias SLEP Puerto Cordillera (177° aniversario, mayo 2019)</t>
  </si>
  <si>
    <t xml:space="preserve">Según MIME; el director que figura en la tabla del SLEP (Carlos Videla) pasó al IAC Estado de Israel en mayo de 2026: confirmar si es titular o subrogante</t>
  </si>
  <si>
    <t xml:space="preserve">Instituto de Adm. y Comercio Estado de Israel</t>
  </si>
  <si>
    <t xml:space="preserve">Básica, Media TP</t>
  </si>
  <si>
    <t xml:space="preserve">Carlos Videla Bonilla</t>
  </si>
  <si>
    <t xml:space="preserve">+56 51 231 9395</t>
  </si>
  <si>
    <t xml:space="preserve">iac.estadodeisrael@slepuertocordillera.cl</t>
  </si>
  <si>
    <t xml:space="preserve">Manuel Jesús Rivera N°320 – sector San Juan</t>
  </si>
  <si>
    <t xml:space="preserve">Mayo (celebración)</t>
  </si>
  <si>
    <t xml:space="preserve">2005</t>
  </si>
  <si>
    <t xml:space="preserve">Resolución exenta 1452 de fecha 06/05/2005</t>
  </si>
  <si>
    <t xml:space="preserve">Catalina Pavez Fuenzalida</t>
  </si>
  <si>
    <t xml:space="preserve">catalinapavezfuenzalida@gmail.com</t>
  </si>
  <si>
    <t xml:space="preserve">Noticias SLEP Puerto Cordillera (14 años, mayo 2019)</t>
  </si>
  <si>
    <t xml:space="preserve">Asumió por concurso de Alta Dirección Pública (SLEP, noticia 04.05.2026); la tabla del SLEP aún muestra al director anterior</t>
  </si>
  <si>
    <t xml:space="preserve">Lic.De Cienc.Y Hum.San Josemaria Escriva</t>
  </si>
  <si>
    <t xml:space="preserve">Básica, Media HC</t>
  </si>
  <si>
    <t xml:space="preserve">Jaime Miranda Manríquez</t>
  </si>
  <si>
    <t xml:space="preserve">+56 51 226 8461</t>
  </si>
  <si>
    <t xml:space="preserve">lic.josemariaescriva@slepuertocordillera.cl</t>
  </si>
  <si>
    <t xml:space="preserve">Los Clarines N°1871</t>
  </si>
  <si>
    <t xml:space="preserve">1 de septiembre</t>
  </si>
  <si>
    <t xml:space="preserve">Resolución exenta 1451 de fecha 06/05/2005</t>
  </si>
  <si>
    <t xml:space="preserve">Ángela Muñoz Véliz</t>
  </si>
  <si>
    <t xml:space="preserve">angemunozve08@gmail.com</t>
  </si>
  <si>
    <t xml:space="preserve">PEI del establecimiento (MINEDUC); Noticias SLEP Puerto Cordillera</t>
  </si>
  <si>
    <t xml:space="preserve">Liceo Bicentenario de Excelencia Instituto Superior de Comercio de Coquimbo</t>
  </si>
  <si>
    <t xml:space="preserve">Media TP</t>
  </si>
  <si>
    <t xml:space="preserve">Fernando Carvajal Araya</t>
  </si>
  <si>
    <t xml:space="preserve">+56 51 232 1092 / +56 51 231 3968</t>
  </si>
  <si>
    <t xml:space="preserve">isc.coquimbo@slepuertocordillera.cl</t>
  </si>
  <si>
    <t xml:space="preserve">Doctor Marín N°367</t>
  </si>
  <si>
    <t xml:space="preserve">10 de mayo</t>
  </si>
  <si>
    <t xml:space="preserve">1905</t>
  </si>
  <si>
    <t xml:space="preserve">Resolución exenta 339 de fecha 01/03/2018</t>
  </si>
  <si>
    <t xml:space="preserve">Javiera Peña Velásquez</t>
  </si>
  <si>
    <t xml:space="preserve">javierapenavelasquez@gmail.com</t>
  </si>
  <si>
    <t xml:space="preserve">www.isccoquimbo.cl</t>
  </si>
  <si>
    <t xml:space="preserve">PEI del establecimiento (MINEDUC); Noticias SLEP Puerto Cordillera (120 años, mayo 2025)</t>
  </si>
  <si>
    <t xml:space="preserve">Liceo Carmen Aurora Rodriguez Henriquez</t>
  </si>
  <si>
    <t xml:space="preserve">Media HC, Media TP, Adultos</t>
  </si>
  <si>
    <t xml:space="preserve">Perla Araya Yañez</t>
  </si>
  <si>
    <t xml:space="preserve">+56 51 239 1570</t>
  </si>
  <si>
    <t xml:space="preserve">lic.carmenrodriguez@slepuertocordillera.cl</t>
  </si>
  <si>
    <t xml:space="preserve">Dolores Endeiza N°185 – Tongoy</t>
  </si>
  <si>
    <t xml:space="preserve">2 de agosto</t>
  </si>
  <si>
    <t xml:space="preserve">2000</t>
  </si>
  <si>
    <t xml:space="preserve">Resolución exenta 1765 de fecha 02/08/2000</t>
  </si>
  <si>
    <t xml:space="preserve">Sebastián Ignacio Saavedra Henríquez</t>
  </si>
  <si>
    <t xml:space="preserve">Presidente</t>
  </si>
  <si>
    <t xml:space="preserve">alex55521332@gmail.com</t>
  </si>
  <si>
    <t xml:space="preserve">Liceo Diego Portales</t>
  </si>
  <si>
    <t xml:space="preserve">Neusy Elizabeth Chelmes Julio</t>
  </si>
  <si>
    <t xml:space="preserve">+56 51 232 1015</t>
  </si>
  <si>
    <t xml:space="preserve">lic.diegoportales@slepuertocordillera.cl</t>
  </si>
  <si>
    <t xml:space="preserve">Avda. Francisco Varela Oriente N°950</t>
  </si>
  <si>
    <t xml:space="preserve">5 de abril</t>
  </si>
  <si>
    <t xml:space="preserve">1956</t>
  </si>
  <si>
    <t xml:space="preserve">Resolución exenta 10070 de fecha 15/12/1981</t>
  </si>
  <si>
    <t xml:space="preserve">Sofía Bruna Muñoz</t>
  </si>
  <si>
    <t xml:space="preserve">Presidenta de gobierno estudiantil</t>
  </si>
  <si>
    <t xml:space="preserve">sofiab.bruna.munoz@gmail.com</t>
  </si>
  <si>
    <t xml:space="preserve">Liceo Fernando Binvignat Marin</t>
  </si>
  <si>
    <t xml:space="preserve">Vladimir Fuentes Jorquera</t>
  </si>
  <si>
    <t xml:space="preserve">+56 44 369 2430</t>
  </si>
  <si>
    <t xml:space="preserve">lic.fernandobinvignat@slepuertocordillera.cl</t>
  </si>
  <si>
    <t xml:space="preserve">Arauco N°1050 – Ts. Blancas</t>
  </si>
  <si>
    <t xml:space="preserve">18 de marzo</t>
  </si>
  <si>
    <t xml:space="preserve">1986 (inicio como anexo en 1983)</t>
  </si>
  <si>
    <t xml:space="preserve">Resolución exenta 216 de fecha 18/03/1986</t>
  </si>
  <si>
    <t xml:space="preserve">Luciana Fernández Guerrero</t>
  </si>
  <si>
    <t xml:space="preserve">lic.fernandobinvignat@slepuertocordillera.cl (correo del establecimiento)</t>
  </si>
  <si>
    <t xml:space="preserve">www.liceobinvignat.cl</t>
  </si>
  <si>
    <t xml:space="preserve">PEI del establecimiento (MINEDUC)</t>
  </si>
  <si>
    <t xml:space="preserve">Liceo Industrial Jose Tomas de Urmeneta</t>
  </si>
  <si>
    <t xml:space="preserve">Jorge Carvajal Araya</t>
  </si>
  <si>
    <t xml:space="preserve">+56 44 369 1128</t>
  </si>
  <si>
    <t xml:space="preserve">lic.industrialjosetomas@slepuertocordillera.cl</t>
  </si>
  <si>
    <t xml:space="preserve">Ossandón N°1000</t>
  </si>
  <si>
    <t xml:space="preserve">25 de mayo</t>
  </si>
  <si>
    <t xml:space="preserve">1966</t>
  </si>
  <si>
    <t xml:space="preserve">Resolución exenta 1075 de fecha 21/11/1983</t>
  </si>
  <si>
    <t xml:space="preserve">Maverick Grosling</t>
  </si>
  <si>
    <t xml:space="preserve">mav.gross1617@gmail.com</t>
  </si>
  <si>
    <t xml:space="preserve">Aula Hospitalaria de Coquimbo</t>
  </si>
  <si>
    <t xml:space="preserve">Particular subvencionado</t>
  </si>
  <si>
    <t xml:space="preserve">Martín Hernando Perez-cueto Deza</t>
  </si>
  <si>
    <t xml:space="preserve">+56 51 267 4683</t>
  </si>
  <si>
    <t xml:space="preserve">coquimbo@ahss.cl</t>
  </si>
  <si>
    <t xml:space="preserve">Cirujano Videla Sn</t>
  </si>
  <si>
    <t xml:space="preserve">2010</t>
  </si>
  <si>
    <t xml:space="preserve">Resolución exenta 1632 de fecha 30/06/2016</t>
  </si>
  <si>
    <t xml:space="preserve">Por completar</t>
  </si>
  <si>
    <t xml:space="preserve">www.ahss.cl</t>
  </si>
  <si>
    <t xml:space="preserve">Aulas Hospitalarias San Sebastian E.i.e.</t>
  </si>
  <si>
    <t xml:space="preserve">MINEDUC, Ficha del Establecimiento (MIME), consulta 05.10.2026</t>
  </si>
  <si>
    <t xml:space="preserve">Colegio Alta Cordillera</t>
  </si>
  <si>
    <t xml:space="preserve">Parvularia, Básica, Media HC, Adultos</t>
  </si>
  <si>
    <t xml:space="preserve">Cecilia Marcela Tamayo Plaza</t>
  </si>
  <si>
    <t xml:space="preserve">+56 51 231 7507</t>
  </si>
  <si>
    <t xml:space="preserve">direccionaltacordillera@gmail.com</t>
  </si>
  <si>
    <t xml:space="preserve">Cardenal Carlos Oviedo 3380</t>
  </si>
  <si>
    <t xml:space="preserve">30 de junio (reconocimiento oficial)</t>
  </si>
  <si>
    <t xml:space="preserve">2008</t>
  </si>
  <si>
    <t xml:space="preserve">Resolución exenta 1888 de fecha 29/06/2018</t>
  </si>
  <si>
    <t xml:space="preserve">www.altacordilleracoquimbo.cl</t>
  </si>
  <si>
    <t xml:space="preserve">Corporación Educacional Alta Cordillera</t>
  </si>
  <si>
    <t xml:space="preserve">Colegio Altazor</t>
  </si>
  <si>
    <t xml:space="preserve">Ingrid Marlene Itha Hornig Saldías</t>
  </si>
  <si>
    <t xml:space="preserve">+56 51 223 2193</t>
  </si>
  <si>
    <t xml:space="preserve">colegioaltazorcqbo@gmail.com</t>
  </si>
  <si>
    <t xml:space="preserve">Regimiento Arica 700</t>
  </si>
  <si>
    <t xml:space="preserve">2002</t>
  </si>
  <si>
    <t xml:space="preserve">Resolución exenta 1875 de fecha 29/06/2018</t>
  </si>
  <si>
    <t xml:space="preserve">www.colegioaltazor.cl</t>
  </si>
  <si>
    <t xml:space="preserve">Corporacion Educacional Altazor  De Coquimbo</t>
  </si>
  <si>
    <t xml:space="preserve">Colegio Bernardo O´Higgins</t>
  </si>
  <si>
    <t xml:space="preserve">Wilson Ismael Puelles Jopia</t>
  </si>
  <si>
    <t xml:space="preserve">+56 51 231 3192</t>
  </si>
  <si>
    <t xml:space="preserve">bernardoohigginscqbo@gmail.com</t>
  </si>
  <si>
    <t xml:space="preserve">Avenida Matta 86</t>
  </si>
  <si>
    <t xml:space="preserve">Resolución exenta 1790 de fecha 29/06/2018</t>
  </si>
  <si>
    <t xml:space="preserve">www.cbo.cl</t>
  </si>
  <si>
    <t xml:space="preserve">Corporacion Educacional Colegio Bernardo O` Higgins- Coquimbo</t>
  </si>
  <si>
    <t xml:space="preserve">Colegio Cristobal Colon</t>
  </si>
  <si>
    <t xml:space="preserve">Angélica Del Rosario Bravo Salas</t>
  </si>
  <si>
    <t xml:space="preserve">+56 51 226 5624</t>
  </si>
  <si>
    <t xml:space="preserve">dinko.koscina@fundacioncolon.cl</t>
  </si>
  <si>
    <t xml:space="preserve">Los Clarines 2201</t>
  </si>
  <si>
    <t xml:space="preserve">1994</t>
  </si>
  <si>
    <t xml:space="preserve">Resolución exenta 1874 de fecha 29/06/2018</t>
  </si>
  <si>
    <t xml:space="preserve">colegiocolon.cl</t>
  </si>
  <si>
    <t xml:space="preserve">Fundación Educacional Colón</t>
  </si>
  <si>
    <t xml:space="preserve">Colegio Discovery</t>
  </si>
  <si>
    <t xml:space="preserve">Debbie Karin Álvarez Gutiérrez</t>
  </si>
  <si>
    <t xml:space="preserve">+56 51 252 0027</t>
  </si>
  <si>
    <t xml:space="preserve">directora@discoveryschool.cl</t>
  </si>
  <si>
    <t xml:space="preserve">Pedro Lagos , Sector El Llano 721</t>
  </si>
  <si>
    <t xml:space="preserve">2007</t>
  </si>
  <si>
    <t xml:space="preserve">Resolución exenta 1853 de fecha 29/06/2018</t>
  </si>
  <si>
    <t xml:space="preserve">discoveryschool.cl</t>
  </si>
  <si>
    <t xml:space="preserve">Corporación Educacional Aventura</t>
  </si>
  <si>
    <t xml:space="preserve">Colegio Espanol</t>
  </si>
  <si>
    <t xml:space="preserve">Media HC</t>
  </si>
  <si>
    <t xml:space="preserve">Giannina Andrea De Los Angeles Lotito Manterola</t>
  </si>
  <si>
    <t xml:space="preserve">+56 51 254 9114</t>
  </si>
  <si>
    <t xml:space="preserve">cespa_q@hotmail.com</t>
  </si>
  <si>
    <t xml:space="preserve">Avenida Alessandri 303</t>
  </si>
  <si>
    <t xml:space="preserve">12 de octubre</t>
  </si>
  <si>
    <t xml:space="preserve">1998</t>
  </si>
  <si>
    <t xml:space="preserve">Resolución exenta 1929 de fecha 29/06/2018</t>
  </si>
  <si>
    <t xml:space="preserve">Corporación Educacional Colegio Español</t>
  </si>
  <si>
    <t xml:space="preserve">Colegio Francis School</t>
  </si>
  <si>
    <t xml:space="preserve">Francis Gema Oyarzún Caru</t>
  </si>
  <si>
    <t xml:space="preserve">+56 51 226 6562</t>
  </si>
  <si>
    <t xml:space="preserve">frangecar@gmail.com</t>
  </si>
  <si>
    <t xml:space="preserve">Los Tulipanes 254</t>
  </si>
  <si>
    <t xml:space="preserve">1990 (jardín) / 1991 (colegio)</t>
  </si>
  <si>
    <t xml:space="preserve">Resolución exenta 0765 de fecha 27/06/1990</t>
  </si>
  <si>
    <t xml:space="preserve">www.francisschool.cl</t>
  </si>
  <si>
    <t xml:space="preserve">Fundación Educacional Francis School</t>
  </si>
  <si>
    <t xml:space="preserve">Colegio Manuel Montt</t>
  </si>
  <si>
    <t xml:space="preserve">Danisa Tatiana Bonilla Cabezas</t>
  </si>
  <si>
    <t xml:space="preserve">+56 9 9193 3967</t>
  </si>
  <si>
    <t xml:space="preserve">colegiomanuelmontt@gmail.com</t>
  </si>
  <si>
    <t xml:space="preserve">Los Espinos Sur 2715 El Sauce Miramar</t>
  </si>
  <si>
    <t xml:space="preserve">Resolución exenta 1882 de fecha 29/06/2018</t>
  </si>
  <si>
    <t xml:space="preserve">colegiomanuelmontt.cl</t>
  </si>
  <si>
    <t xml:space="preserve">Corporación Educacional Manuel Montt</t>
  </si>
  <si>
    <t xml:space="preserve">Celular antiguo de 8 dígitos, se antepuso 9: verificar</t>
  </si>
  <si>
    <t xml:space="preserve">Colegio Maria Educa</t>
  </si>
  <si>
    <t xml:space="preserve">Susana Del Carmen Salgado Cardemil</t>
  </si>
  <si>
    <t xml:space="preserve">+56 51 223 0423</t>
  </si>
  <si>
    <t xml:space="preserve">graciela.guerrero@mariaeduca.cl</t>
  </si>
  <si>
    <t xml:space="preserve">Fray Jorge, Bosque San Carlos 850</t>
  </si>
  <si>
    <t xml:space="preserve">Resolución exenta 843 de fecha 09/05/2002</t>
  </si>
  <si>
    <t xml:space="preserve">www.mariaeduca.cl</t>
  </si>
  <si>
    <t xml:space="preserve">Fundacion Maria Educa</t>
  </si>
  <si>
    <t xml:space="preserve">Colegio Metodista de Coquimbo</t>
  </si>
  <si>
    <t xml:space="preserve">Luis Eduardo Contreras Aguilar</t>
  </si>
  <si>
    <t xml:space="preserve">+56 51 240 0150</t>
  </si>
  <si>
    <t xml:space="preserve">contacto@escuelametodista.cl</t>
  </si>
  <si>
    <t xml:space="preserve">San Martin 1598</t>
  </si>
  <si>
    <t xml:space="preserve">13 de agosto</t>
  </si>
  <si>
    <t xml:space="preserve">1953</t>
  </si>
  <si>
    <t xml:space="preserve">Resolución exenta 993 de fecha 15/05/2017</t>
  </si>
  <si>
    <t xml:space="preserve">www.escuelametodista.cl</t>
  </si>
  <si>
    <t xml:space="preserve">Corporacion Metodista</t>
  </si>
  <si>
    <t xml:space="preserve">Colegio Part. Komvux - Coquimbo</t>
  </si>
  <si>
    <t xml:space="preserve">Carolina Luisa Muñoz Carvajal</t>
  </si>
  <si>
    <t xml:space="preserve">+56 2 2857 3495</t>
  </si>
  <si>
    <t xml:space="preserve">colegiokomvuxcoquimbo@gmail.com</t>
  </si>
  <si>
    <t xml:space="preserve">Av. Pdte. Arturo Alessandri 1859</t>
  </si>
  <si>
    <t xml:space="preserve">1993</t>
  </si>
  <si>
    <t xml:space="preserve">Resolución exenta 1296 de fecha 09/05/2018</t>
  </si>
  <si>
    <t xml:space="preserve">www.colegiokomvux.cl</t>
  </si>
  <si>
    <t xml:space="preserve">Corporacion Educacional Colegio Komvux</t>
  </si>
  <si>
    <t xml:space="preserve">Prefijo de Santiago: verificar</t>
  </si>
  <si>
    <t xml:space="preserve">Colegio Particular Calasanz</t>
  </si>
  <si>
    <t xml:space="preserve">Enrique Roberto Arenas Otárola</t>
  </si>
  <si>
    <t xml:space="preserve">+56 51 224 1497</t>
  </si>
  <si>
    <t xml:space="preserve">colegio@calasanztb.cl</t>
  </si>
  <si>
    <t xml:space="preserve">Valdivia 951</t>
  </si>
  <si>
    <t xml:space="preserve">Resolución exenta 317 de fecha 07/04/1987</t>
  </si>
  <si>
    <t xml:space="preserve">calasanztb.cl</t>
  </si>
  <si>
    <t xml:space="preserve">Pio Instituto Hijas De Maria Religiosas De Las Escuelas Pias</t>
  </si>
  <si>
    <t xml:space="preserve">Colegio Particular Gabriela Mistral</t>
  </si>
  <si>
    <t xml:space="preserve">Luisa Mariela De Lourdes Cuello Yuschkewitz</t>
  </si>
  <si>
    <t xml:space="preserve">+56 51 231 1577</t>
  </si>
  <si>
    <t xml:space="preserve">colgami@gmail.com</t>
  </si>
  <si>
    <t xml:space="preserve">Abtao 22</t>
  </si>
  <si>
    <t xml:space="preserve">Resolución exenta 01240 de fecha 15/09/1982</t>
  </si>
  <si>
    <t xml:space="preserve">www.colegiogabrielamistralcoquimbo.cl</t>
  </si>
  <si>
    <t xml:space="preserve">Corporación Colegio Gabriela Mistral De Coquimbo</t>
  </si>
  <si>
    <t xml:space="preserve">Colegio Particular Leonardo Da Vinci</t>
  </si>
  <si>
    <t xml:space="preserve">Alejandra Angélica Román Calquín</t>
  </si>
  <si>
    <t xml:space="preserve">+56 51 224 8772</t>
  </si>
  <si>
    <t xml:space="preserve">secretaria@davincicoquimbo.cl</t>
  </si>
  <si>
    <t xml:space="preserve">Juan Barrera Cortes - El Agrado De Penuelas 2050</t>
  </si>
  <si>
    <t xml:space="preserve">Marzo (inicio de clases)</t>
  </si>
  <si>
    <t xml:space="preserve">1995</t>
  </si>
  <si>
    <t xml:space="preserve">Resolución exenta 1887 de fecha 29/06/2018</t>
  </si>
  <si>
    <t xml:space="preserve">www.davincicoquimbo.cl</t>
  </si>
  <si>
    <t xml:space="preserve">Corporación Educacional Peñuelas</t>
  </si>
  <si>
    <t xml:space="preserve">Colegio Particular San Gabriel</t>
  </si>
  <si>
    <t xml:space="preserve">Aída Ester Segovia Álvarez</t>
  </si>
  <si>
    <t xml:space="preserve">+56 9 9770 1573</t>
  </si>
  <si>
    <t xml:space="preserve">colegiosangabrielcoquimbo@gmail.com</t>
  </si>
  <si>
    <t xml:space="preserve">Eleuterio Ramirez 440</t>
  </si>
  <si>
    <t xml:space="preserve">Resolución exenta 22254 de fecha 23/11/2017</t>
  </si>
  <si>
    <t xml:space="preserve">San Gabriel Arcangel E.i.e.</t>
  </si>
  <si>
    <t xml:space="preserve">Colegio Rakiduam</t>
  </si>
  <si>
    <t xml:space="preserve">Carolina Del Carmen Pizarro Lagos</t>
  </si>
  <si>
    <t xml:space="preserve">+56 51 254 6103</t>
  </si>
  <si>
    <t xml:space="preserve">direccion@colegiorakiduam.cl</t>
  </si>
  <si>
    <t xml:space="preserve">Avenida La Cantera 610</t>
  </si>
  <si>
    <t xml:space="preserve">2006</t>
  </si>
  <si>
    <t xml:space="preserve">Resolución exenta 1788 de fecha 29/06/2018</t>
  </si>
  <si>
    <t xml:space="preserve">www.colegiorakiduam.cl</t>
  </si>
  <si>
    <t xml:space="preserve">Fundación Educacional Rakiduam</t>
  </si>
  <si>
    <t xml:space="preserve">Número antiguo de 6 dígitos, se antepuso 2: verificar</t>
  </si>
  <si>
    <t xml:space="preserve">Colegio San Lorenzo</t>
  </si>
  <si>
    <t xml:space="preserve">Soledad Del Rosario Salazar Aracena</t>
  </si>
  <si>
    <t xml:space="preserve">+56 51 227 7056</t>
  </si>
  <si>
    <t xml:space="preserve">soledad.salazar.ara20@colsanlorenzo.cl</t>
  </si>
  <si>
    <t xml:space="preserve">Narciso Herrera 2575</t>
  </si>
  <si>
    <t xml:space="preserve">Resolución exenta 578 de fecha 16/03/2018</t>
  </si>
  <si>
    <t xml:space="preserve">www.colegiosanlorenzolacantera.cl</t>
  </si>
  <si>
    <t xml:space="preserve">Corporación Colegio San Lorenzo  De Coquimbo</t>
  </si>
  <si>
    <t xml:space="preserve">Colegio San Luis</t>
  </si>
  <si>
    <t xml:space="preserve">Dafne Yarella Zúñiga Carvajal</t>
  </si>
  <si>
    <t xml:space="preserve">+56 51 254 6240</t>
  </si>
  <si>
    <t xml:space="preserve">luiggi@wilug.cl</t>
  </si>
  <si>
    <t xml:space="preserve">Avda Ossandon 350</t>
  </si>
  <si>
    <t xml:space="preserve">Resolución exenta 238 de fecha 13/02/2018</t>
  </si>
  <si>
    <t xml:space="preserve">www.instagram.com/colegio_sanluis_coquimbo/</t>
  </si>
  <si>
    <t xml:space="preserve">Corporación Educacional  San Luis De Coquimbo</t>
  </si>
  <si>
    <t xml:space="preserve">Colegio Santa Familia</t>
  </si>
  <si>
    <t xml:space="preserve">Pamela Carolina Arancibia Araya</t>
  </si>
  <si>
    <t xml:space="preserve">+56 51 226 6516</t>
  </si>
  <si>
    <t xml:space="preserve">corporacionsanguillermo@colegiosantafamilia.cl</t>
  </si>
  <si>
    <t xml:space="preserve">Eduardo Mallea 601</t>
  </si>
  <si>
    <t xml:space="preserve">1999</t>
  </si>
  <si>
    <t xml:space="preserve">Resolución exenta 756 de fecha 01/03/1999</t>
  </si>
  <si>
    <t xml:space="preserve">www.colegiosantafamilia.cl</t>
  </si>
  <si>
    <t xml:space="preserve">Corporación Educacional San Guillermo</t>
  </si>
  <si>
    <t xml:space="preserve">Colegio Santa Helena College</t>
  </si>
  <si>
    <t xml:space="preserve">Elena Adelaida Varela Sierra</t>
  </si>
  <si>
    <t xml:space="preserve">+56 9 8449 8473</t>
  </si>
  <si>
    <t xml:space="preserve">santahelenacollege@gmail.com</t>
  </si>
  <si>
    <t xml:space="preserve">Avda Videla 235</t>
  </si>
  <si>
    <t xml:space="preserve">Resolución exenta 1856 de fecha 29/06/2018</t>
  </si>
  <si>
    <t xml:space="preserve">w.w.w.shcc.cl</t>
  </si>
  <si>
    <t xml:space="preserve">Corporacion Educacional Santa Helena College</t>
  </si>
  <si>
    <t xml:space="preserve">Colegio Santa Maria de Belen N_ 162</t>
  </si>
  <si>
    <t xml:space="preserve">Patricia Elena Castillo Oros</t>
  </si>
  <si>
    <t xml:space="preserve">+56 51 226 8040</t>
  </si>
  <si>
    <t xml:space="preserve">secretariasmbelen@gmail.com</t>
  </si>
  <si>
    <t xml:space="preserve">Las Begonias Sindempart 361 - 371</t>
  </si>
  <si>
    <t xml:space="preserve">Resolución exenta 1067 de fecha 16/06/1993</t>
  </si>
  <si>
    <t xml:space="preserve">www.smbelenfranciscanas.cl</t>
  </si>
  <si>
    <t xml:space="preserve">Hermanas Franciscanas Misioneras De Jesus</t>
  </si>
  <si>
    <t xml:space="preserve">Colegio Santa Marta</t>
  </si>
  <si>
    <t xml:space="preserve">María Isabel Castro Ríos</t>
  </si>
  <si>
    <t xml:space="preserve">+56 51 267 2760</t>
  </si>
  <si>
    <t xml:space="preserve">fecosamarta@gmail.com</t>
  </si>
  <si>
    <t xml:space="preserve">Manuel Rodriguez 2110</t>
  </si>
  <si>
    <t xml:space="preserve">Resolución exenta 5012 de fecha 19/11/1981</t>
  </si>
  <si>
    <t xml:space="preserve">www.colegiosantamartacoquimbo.cl</t>
  </si>
  <si>
    <t xml:space="preserve">Fundacion Educacional Colegio Santa Marta Coq</t>
  </si>
  <si>
    <t xml:space="preserve">Colegio Tecnico Profesional Altue</t>
  </si>
  <si>
    <t xml:space="preserve">Básica, Media HC, Media TP</t>
  </si>
  <si>
    <t xml:space="preserve">Sergio Sebastián Idilio Moraga Cruz</t>
  </si>
  <si>
    <t xml:space="preserve">+56 9 4000 5627</t>
  </si>
  <si>
    <t xml:space="preserve">wgonzalezsulantay@gmail.com</t>
  </si>
  <si>
    <t xml:space="preserve">Cabo Exequiel Aroca 1340</t>
  </si>
  <si>
    <t xml:space="preserve">11 de marzo</t>
  </si>
  <si>
    <t xml:space="preserve">2009</t>
  </si>
  <si>
    <t xml:space="preserve">Resolución exenta 1785 de fecha 12/09/2016</t>
  </si>
  <si>
    <t xml:space="preserve">www.colegioaltue.cl</t>
  </si>
  <si>
    <t xml:space="preserve">Corporaciòn Educacional Cristo De La Misericordia</t>
  </si>
  <si>
    <t xml:space="preserve">Escuela Diego de Almeyda</t>
  </si>
  <si>
    <t xml:space="preserve">Pamela Ximena Antinao Plaza</t>
  </si>
  <si>
    <t xml:space="preserve">+56 51 224 0042</t>
  </si>
  <si>
    <t xml:space="preserve">direccion@diegodealmeyda.cl</t>
  </si>
  <si>
    <t xml:space="preserve">Santiago 1244</t>
  </si>
  <si>
    <t xml:space="preserve">20 de marzo</t>
  </si>
  <si>
    <t xml:space="preserve">1987</t>
  </si>
  <si>
    <t xml:space="preserve">Resolución exenta 1534 de fecha 12/07/2017</t>
  </si>
  <si>
    <t xml:space="preserve">www.diegodealmeyda.cl</t>
  </si>
  <si>
    <t xml:space="preserve">Corporación Educacional Diego De Almeyda</t>
  </si>
  <si>
    <t xml:space="preserve">Escuela San Marino College</t>
  </si>
  <si>
    <t xml:space="preserve">Olivia Isabel Ponce López</t>
  </si>
  <si>
    <t xml:space="preserve">+56 51 260 5587</t>
  </si>
  <si>
    <t xml:space="preserve">colegio@sanmarinocollege.cl</t>
  </si>
  <si>
    <t xml:space="preserve">Los Huertos 1731</t>
  </si>
  <si>
    <t xml:space="preserve">3 de marzo</t>
  </si>
  <si>
    <t xml:space="preserve">Resolución exenta 1777 de fecha 29/06/2018</t>
  </si>
  <si>
    <t xml:space="preserve">www.sanmarinocollege.cl</t>
  </si>
  <si>
    <t xml:space="preserve">Corporacion Educacional  San Marino</t>
  </si>
  <si>
    <t xml:space="preserve">Kid´S World School</t>
  </si>
  <si>
    <t xml:space="preserve">Ricardo Alfonso Guerra Varela</t>
  </si>
  <si>
    <t xml:space="preserve">+56 51 260 5628</t>
  </si>
  <si>
    <t xml:space="preserve">roxana.castillo@kidsworldschool.cl</t>
  </si>
  <si>
    <t xml:space="preserve">Ignacio Carrera Pinto El Llano 955</t>
  </si>
  <si>
    <t xml:space="preserve">1991 (como jardín)</t>
  </si>
  <si>
    <t xml:space="preserve">Resolución exenta 1797 de fecha 29/06/2018</t>
  </si>
  <si>
    <t xml:space="preserve">www.kidsworldschool.cl</t>
  </si>
  <si>
    <t xml:space="preserve">Corporacion Educacional Kid´s World</t>
  </si>
  <si>
    <t xml:space="preserve">Liceo Bicentenario de Excelencia Colegio Particular Miguel de Cervantes</t>
  </si>
  <si>
    <t xml:space="preserve">Maritza Ester Pujado Barría</t>
  </si>
  <si>
    <t xml:space="preserve">+56 51 223 2743</t>
  </si>
  <si>
    <t xml:space="preserve">cervant@gmail.com</t>
  </si>
  <si>
    <t xml:space="preserve">Camino Callejón Las Parcelas 405</t>
  </si>
  <si>
    <t xml:space="preserve">22 de mayo (reconocimiento oficial)</t>
  </si>
  <si>
    <t xml:space="preserve">1985</t>
  </si>
  <si>
    <t xml:space="preserve">Resolución exenta 2552 de fecha 13/12/2017</t>
  </si>
  <si>
    <t xml:space="preserve">www.colmigueldecervantes.cl</t>
  </si>
  <si>
    <t xml:space="preserve">Corporación Colegio Miguel De Cervantes De Coquimbo</t>
  </si>
  <si>
    <t xml:space="preserve">Amazing Grace English School - Peñuelas</t>
  </si>
  <si>
    <t xml:space="preserve">Particular pagado</t>
  </si>
  <si>
    <t xml:space="preserve">Patricia Angélica Gallardo Olivares</t>
  </si>
  <si>
    <t xml:space="preserve">+56 51 240 0600</t>
  </si>
  <si>
    <t xml:space="preserve">rectoria@amazinggraceco.cl</t>
  </si>
  <si>
    <t xml:space="preserve">Avenida El Rosario, Rosario De Peñuelas 3870</t>
  </si>
  <si>
    <t xml:space="preserve">Resolución exenta 2273 de fecha 25/10/2016</t>
  </si>
  <si>
    <t xml:space="preserve">www.amazinggraceco.cl</t>
  </si>
  <si>
    <t xml:space="preserve">Sociedad Educacional Shalom  Spa</t>
  </si>
  <si>
    <t xml:space="preserve">Colegio Conquistadores Coquimbo</t>
  </si>
  <si>
    <t xml:space="preserve">Sergio Antonio Caro Aguilera</t>
  </si>
  <si>
    <t xml:space="preserve">+56 51 223 4652</t>
  </si>
  <si>
    <t xml:space="preserve">colegioconquistadorescoquimbo@gmail.com</t>
  </si>
  <si>
    <t xml:space="preserve">Las Azucenas Nº 690, Sindempart, Sector Urbano, De La Comuna De Coquimbo 690</t>
  </si>
  <si>
    <t xml:space="preserve">Resolución exenta 2856 de fecha 14/11/2018</t>
  </si>
  <si>
    <t xml:space="preserve">www.colegioconquistadores.cl</t>
  </si>
  <si>
    <t xml:space="preserve">Arturo Javier Galleguillos Trigo Argat E.i.r.</t>
  </si>
  <si>
    <t xml:space="preserve">Colegio Saint Mary School</t>
  </si>
  <si>
    <t xml:space="preserve">Carola Soledad Iribarren Véliz</t>
  </si>
  <si>
    <t xml:space="preserve">+56 51 226 1714</t>
  </si>
  <si>
    <t xml:space="preserve">saintmaryschool@smary.cl</t>
  </si>
  <si>
    <t xml:space="preserve">Av. El Sauce 1049 Sindempart Coquimbo</t>
  </si>
  <si>
    <t xml:space="preserve">1991</t>
  </si>
  <si>
    <t xml:space="preserve">Resolución exenta 1147 de fecha 16/04/1992</t>
  </si>
  <si>
    <t xml:space="preserve">Saint Mary School S.a.</t>
  </si>
  <si>
    <t xml:space="preserve">Colegio del Alba</t>
  </si>
  <si>
    <t xml:space="preserve">Rossana Danaes Cardenas Casanga</t>
  </si>
  <si>
    <t xml:space="preserve">+56 51 260 5210</t>
  </si>
  <si>
    <t xml:space="preserve">administrador@colegiodelalbacoquimbo.cl</t>
  </si>
  <si>
    <t xml:space="preserve">Micaela Godoy 275</t>
  </si>
  <si>
    <t xml:space="preserve">4 de abril</t>
  </si>
  <si>
    <t xml:space="preserve">Resolución exenta 613 de fecha 26/03/2018</t>
  </si>
  <si>
    <t xml:space="preserve">www.colegiodelalbacoquimbo.cl</t>
  </si>
  <si>
    <t xml:space="preserve">Sociedad Educacional Del Alba S.a.</t>
  </si>
  <si>
    <t xml:space="preserve">Colegio los Carrera Spa</t>
  </si>
  <si>
    <t xml:space="preserve">Carmelina Doris Reyes Durán</t>
  </si>
  <si>
    <t xml:space="preserve">+56 51 231 6656</t>
  </si>
  <si>
    <t xml:space="preserve">clc.coquimbo@gmail.com</t>
  </si>
  <si>
    <t xml:space="preserve">Abtao 190</t>
  </si>
  <si>
    <t xml:space="preserve">Resolución exenta 505 de fecha 14/06/1985</t>
  </si>
  <si>
    <t xml:space="preserve">www.colegioparticularloscarrera.cl</t>
  </si>
  <si>
    <t xml:space="preserve">Manuel A. Santander Escobar Serv.ed. E.i.r.l.</t>
  </si>
  <si>
    <t xml:space="preserve">Resumen de la base</t>
  </si>
  <si>
    <t xml:space="preserve">Establecimientos</t>
  </si>
  <si>
    <t xml:space="preserve">Matrícula total 2025</t>
  </si>
  <si>
    <t xml:space="preserve">Con director informado</t>
  </si>
  <si>
    <t xml:space="preserve">Con aniversario (fecha o mes)</t>
  </si>
  <si>
    <t xml:space="preserve">Presidente/a CEAL informado</t>
  </si>
  <si>
    <t xml:space="preserve">CEAL por completar</t>
  </si>
  <si>
    <t xml:space="preserve">Total</t>
  </si>
  <si>
    <t xml:space="preserve">Modalidad de enseñanza media</t>
  </si>
  <si>
    <t xml:space="preserve">Solo científico-humanista (HC)</t>
  </si>
  <si>
    <t xml:space="preserve">Solo técnico-profesional (TP)</t>
  </si>
  <si>
    <t xml:space="preserve">HC y TP (polivalente)</t>
  </si>
  <si>
    <t xml:space="preserve">La matrícula es la total de cada establecimiento en 2025 e incluye párvulos y básica cuando el colegio los tiene; no corresponde solo a enseñanza media.</t>
  </si>
  <si>
    <t xml:space="preserve">Fuentes</t>
  </si>
  <si>
    <t xml:space="preserve">Universo</t>
  </si>
  <si>
    <t xml:space="preserve">MINEDUC, Directorio Oficial de Establecimientos 2025 (datosabiertos.mineduc.cl), comuna 4102, estado "funcionando". Filtro del 23.10.2026: solo los 43 establecimientos cuyo registro incluye enseñanza media regular HC o TP (1° a 4° medio), con matrícula 2025 informada.</t>
  </si>
  <si>
    <t xml:space="preserve">Contacto, establecimientos públicos</t>
  </si>
  <si>
    <t xml:space="preserve">SLEP Puerto Cordillera, página "Establecimientos Educacionales" (slepuertocordillera.gob.cl, última edición 07.05.2026). Correos decodificados de la página.</t>
  </si>
  <si>
    <t xml:space="preserve">Contacto, establecimientos particulares</t>
  </si>
  <si>
    <t xml:space="preserve">MINEDUC, Ficha del Establecimiento (mi.mineduc.cl), consultada el 05.10.2026. La información la carga cada director y puede estar desactualizada.</t>
  </si>
  <si>
    <t xml:space="preserve">Cambios de director</t>
  </si>
  <si>
    <t xml:space="preserve">SLEP Puerto Cordillera, noticia 04.05.2026: seis directores asumen por Alta Dirección Pública (cuatro en Coquimbo: IAC Estado de Israel, Liceo Diego Portales, Escuela República de Italia y Colegio Santa Cecilia). Se corrigieron en la base.</t>
  </si>
  <si>
    <t xml:space="preserve">Aniversarios</t>
  </si>
  <si>
    <t xml:space="preserve">Reseñas históricas de los Proyectos Educativos Institucionales (PEI) publicados en MINEDUC y noticias de aniversario del SLEP Puerto Cordillera. Donde no hay fecha de aniversario se indica "Sin información"; la columna de reconocimiento oficial es un dato distinto y no reemplaza al aniversario.</t>
  </si>
  <si>
    <t xml:space="preserve">Notas</t>
  </si>
  <si>
    <t xml:space="preserve">Teléfonos</t>
  </si>
  <si>
    <t xml:space="preserve">Se normalizaron a formato +56. Los números antiguos de 6 dígitos y los celulares de 8 dígitos se convirtieron según las reglas de numeración de 2013 y quedan marcados para verificar en Observaciones.</t>
  </si>
  <si>
    <t xml:space="preserve">Directores con dato distinto</t>
  </si>
  <si>
    <t xml:space="preserve">En 3 liceos y colegios públicos de esta selección la tabla del SLEP y MIME muestran directores distintos (Cardenal Caro, Pablo Neruda y Claudio Arrau). Se dejó el dato más reciente que se pudo respaldar y se marcó para confirmar en Observaciones.</t>
  </si>
  <si>
    <t xml:space="preserve">Presidentes de CEAL</t>
  </si>
  <si>
    <t xml:space="preserve">Establecimientos públicos: se integró la nómina 2026 de presidentas y presidentes de centros de estudiantes y gobiernos estudiantiles del SLEP Puerto Cordillera, cruzada por RBD. Particulares: no hay registro público y quedan 33 en amarillo ("Por completar"). Cuando el correo de la nómina es el institucional del establecimiento, se indica entre paréntesis.</t>
  </si>
  <si>
    <t xml:space="preserve">Resguardo de datos</t>
  </si>
  <si>
    <t xml:space="preserve">La nómina contiene nombres y correos personales de estudiantes, en su mayoría menores de edad. Usar solo para vinculación institucional, no difundir y no publicar la planilla (Ley 19.628 y Ley 21.719 sobre protección de datos personales). Para contactos formales, preferir el correo institucional del establecimiento con copia a la dirección.</t>
  </si>
  <si>
    <t xml:space="preserve">Fuera del universo</t>
  </si>
  <si>
    <t xml:space="preserve">Quedan fuera los establecimientos que solo imparten parvularia, básica o educación especial, los jardines VTF, JUNJI e Integra, y las instituciones de educación superior (están en la base 2.1). También los colegios que atienden solo a personas adultas, porque su enseñanza media es por niveles y no de 1° a 4° medio: Colegio Adultos San Luis, Adultos Las Violetas, CEIA Santa, Colegio Olimpo, Colegio de Jóvenes y Adultos Ossandón, Escuela para Adultos Amigos del Padre Hurtado, Instituto de Educación para el Adulto, Colegio de Adultos Su Santidad Juan Pablo II y Colegio José Martí Pérez (este último imparte parvularia, básica y adultos).</t>
  </si>
  <si>
    <t xml:space="preserve">Casos a mirar</t>
  </si>
  <si>
    <t xml:space="preserve">Tres establecimientos imparten media y también educación de adultos (Liceo Carmen Aurora Rodríguez, Liceo Diego Portales y Colegio Alta Cordillera). El Aula Hospitalaria atiende a estudiantes de media internados, y el Colegio Komvux funciona como reingreso educativo: ambos se mantienen porque registran media regular, pero conviene revisarlos según el uso que se le dé a la base.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</si>
</sst>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i val="true"/>
      <sz val="9"/>
      <color rgb="FFA6A6A6"/>
      <name val="Arial"/>
      <family val="0"/>
      <charset val="1"/>
    </font>
    <font>
      <sz val="9"/>
      <color rgb="FF7F6000"/>
      <name val="Arial"/>
      <family val="0"/>
      <charset val="1"/>
    </font>
    <font>
      <sz val="10"/>
      <name val="Arial"/>
      <family val="2"/>
    </font>
    <font>
      <b val="true"/>
      <sz val="13"/>
      <color rgb="FF1F4E79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A6A6A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7F6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7"/>
    <col collapsed="false" customWidth="true" hidden="false" outlineLevel="0" max="3" min="3" style="1" width="38"/>
    <col collapsed="false" customWidth="true" hidden="false" outlineLevel="0" max="4" min="4" style="1" width="31.71"/>
    <col collapsed="false" customWidth="true" hidden="false" outlineLevel="0" max="5" min="5" style="1" width="18"/>
    <col collapsed="false" customWidth="true" hidden="false" outlineLevel="0" max="6" min="6" style="1" width="8"/>
    <col collapsed="false" customWidth="true" hidden="false" outlineLevel="0" max="7" min="7" style="1" width="10"/>
    <col collapsed="false" customWidth="true" hidden="false" outlineLevel="0" max="8" min="8" style="1" width="28"/>
    <col collapsed="false" customWidth="true" hidden="false" outlineLevel="0" max="9" min="9" style="1" width="20"/>
    <col collapsed="false" customWidth="true" hidden="false" outlineLevel="0" max="10" min="10" style="1" width="36"/>
    <col collapsed="false" customWidth="true" hidden="false" outlineLevel="0" max="11" min="11" style="1" width="34"/>
    <col collapsed="false" customWidth="true" hidden="false" outlineLevel="0" max="12" min="12" style="1" width="24"/>
    <col collapsed="false" customWidth="true" hidden="false" outlineLevel="0" max="13" min="13" style="1" width="14"/>
    <col collapsed="false" customWidth="true" hidden="false" outlineLevel="0" max="14" min="14" style="1" width="28"/>
    <col collapsed="false" customWidth="true" hidden="false" outlineLevel="0" max="15" min="15" style="1" width="26"/>
    <col collapsed="false" customWidth="true" hidden="false" outlineLevel="0" max="16" min="16" style="1" width="22"/>
    <col collapsed="false" customWidth="true" hidden="false" outlineLevel="0" max="17" min="17" style="1" width="34"/>
    <col collapsed="false" customWidth="true" hidden="false" outlineLevel="0" max="18" min="18" style="1" width="30"/>
    <col collapsed="false" customWidth="true" hidden="false" outlineLevel="0" max="19" min="19" style="1" width="26"/>
    <col collapsed="false" customWidth="true" hidden="false" outlineLevel="0" max="20" min="20" style="1" width="30"/>
    <col collapsed="false" customWidth="true" hidden="false" outlineLevel="0" max="22" min="21" style="1" width="10"/>
    <col collapsed="false" customWidth="true" hidden="false" outlineLevel="0" max="24" min="23" style="1" width="30"/>
    <col collapsed="false" customWidth="true" hidden="false" outlineLevel="0" max="25" min="25" style="1" width="45"/>
  </cols>
  <sheetData>
    <row r="1" customFormat="false" ht="18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42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</row>
    <row r="5" customFormat="false" ht="36" hidden="false" customHeight="true" outlineLevel="0" collapsed="false">
      <c r="A5" s="5" t="n">
        <v>1</v>
      </c>
      <c r="B5" s="5" t="n">
        <v>616</v>
      </c>
      <c r="C5" s="6" t="s">
        <v>27</v>
      </c>
      <c r="D5" s="5" t="s">
        <v>28</v>
      </c>
      <c r="E5" s="5" t="s">
        <v>29</v>
      </c>
      <c r="F5" s="5" t="s">
        <v>30</v>
      </c>
      <c r="G5" s="7" t="n">
        <v>651</v>
      </c>
      <c r="H5" s="5" t="s">
        <v>31</v>
      </c>
      <c r="I5" s="5" t="s">
        <v>32</v>
      </c>
      <c r="J5" s="5" t="s">
        <v>33</v>
      </c>
      <c r="K5" s="6" t="s">
        <v>34</v>
      </c>
      <c r="L5" s="8" t="s">
        <v>35</v>
      </c>
      <c r="M5" s="9" t="s">
        <v>35</v>
      </c>
      <c r="N5" s="6" t="s">
        <v>36</v>
      </c>
      <c r="O5" s="5" t="s">
        <v>37</v>
      </c>
      <c r="P5" s="6" t="s">
        <v>38</v>
      </c>
      <c r="Q5" s="6" t="s">
        <v>39</v>
      </c>
      <c r="R5" s="6" t="s">
        <v>40</v>
      </c>
      <c r="S5" s="5"/>
      <c r="T5" s="6" t="s">
        <v>41</v>
      </c>
      <c r="U5" s="5" t="n">
        <v>-29.96734</v>
      </c>
      <c r="V5" s="5" t="n">
        <v>-71.339104</v>
      </c>
      <c r="W5" s="6" t="s">
        <v>42</v>
      </c>
      <c r="X5" s="6"/>
      <c r="Y5" s="6" t="s">
        <v>43</v>
      </c>
    </row>
    <row r="6" customFormat="false" ht="36" hidden="false" customHeight="true" outlineLevel="0" collapsed="false">
      <c r="A6" s="10" t="n">
        <v>2</v>
      </c>
      <c r="B6" s="10" t="n">
        <v>629</v>
      </c>
      <c r="C6" s="11" t="s">
        <v>44</v>
      </c>
      <c r="D6" s="10" t="s">
        <v>28</v>
      </c>
      <c r="E6" s="10" t="s">
        <v>45</v>
      </c>
      <c r="F6" s="10" t="s">
        <v>46</v>
      </c>
      <c r="G6" s="12" t="n">
        <v>741</v>
      </c>
      <c r="H6" s="10" t="s">
        <v>47</v>
      </c>
      <c r="I6" s="10" t="s">
        <v>48</v>
      </c>
      <c r="J6" s="10" t="s">
        <v>49</v>
      </c>
      <c r="K6" s="11" t="s">
        <v>50</v>
      </c>
      <c r="L6" s="11" t="s">
        <v>51</v>
      </c>
      <c r="M6" s="10" t="s">
        <v>52</v>
      </c>
      <c r="N6" s="11" t="s">
        <v>53</v>
      </c>
      <c r="O6" s="10" t="s">
        <v>54</v>
      </c>
      <c r="P6" s="11" t="s">
        <v>38</v>
      </c>
      <c r="Q6" s="11" t="s">
        <v>55</v>
      </c>
      <c r="R6" s="11" t="s">
        <v>40</v>
      </c>
      <c r="S6" s="10"/>
      <c r="T6" s="11" t="s">
        <v>41</v>
      </c>
      <c r="U6" s="10" t="n">
        <v>-30.05068</v>
      </c>
      <c r="V6" s="10" t="n">
        <v>-71.252403</v>
      </c>
      <c r="W6" s="11" t="s">
        <v>42</v>
      </c>
      <c r="X6" s="11" t="s">
        <v>56</v>
      </c>
      <c r="Y6" s="11" t="s">
        <v>57</v>
      </c>
    </row>
    <row r="7" customFormat="false" ht="36" hidden="false" customHeight="true" outlineLevel="0" collapsed="false">
      <c r="A7" s="5" t="n">
        <v>3</v>
      </c>
      <c r="B7" s="5" t="n">
        <v>613</v>
      </c>
      <c r="C7" s="6" t="s">
        <v>58</v>
      </c>
      <c r="D7" s="5" t="s">
        <v>28</v>
      </c>
      <c r="E7" s="5" t="s">
        <v>29</v>
      </c>
      <c r="F7" s="5" t="s">
        <v>30</v>
      </c>
      <c r="G7" s="7" t="n">
        <v>755</v>
      </c>
      <c r="H7" s="5" t="s">
        <v>59</v>
      </c>
      <c r="I7" s="5" t="s">
        <v>60</v>
      </c>
      <c r="J7" s="5" t="s">
        <v>61</v>
      </c>
      <c r="K7" s="6" t="s">
        <v>62</v>
      </c>
      <c r="L7" s="6" t="s">
        <v>63</v>
      </c>
      <c r="M7" s="5" t="s">
        <v>64</v>
      </c>
      <c r="N7" s="6" t="s">
        <v>65</v>
      </c>
      <c r="O7" s="5" t="s">
        <v>66</v>
      </c>
      <c r="P7" s="6" t="s">
        <v>38</v>
      </c>
      <c r="Q7" s="6" t="s">
        <v>67</v>
      </c>
      <c r="R7" s="6" t="s">
        <v>40</v>
      </c>
      <c r="S7" s="5" t="s">
        <v>68</v>
      </c>
      <c r="T7" s="6" t="s">
        <v>41</v>
      </c>
      <c r="U7" s="5" t="n">
        <v>-29.961269</v>
      </c>
      <c r="V7" s="5" t="n">
        <v>-71.338287</v>
      </c>
      <c r="W7" s="6" t="s">
        <v>42</v>
      </c>
      <c r="X7" s="6" t="s">
        <v>69</v>
      </c>
      <c r="Y7" s="6" t="s">
        <v>70</v>
      </c>
    </row>
    <row r="8" customFormat="false" ht="36" hidden="false" customHeight="true" outlineLevel="0" collapsed="false">
      <c r="A8" s="10" t="n">
        <v>4</v>
      </c>
      <c r="B8" s="10" t="n">
        <v>13558</v>
      </c>
      <c r="C8" s="11" t="s">
        <v>71</v>
      </c>
      <c r="D8" s="10" t="s">
        <v>28</v>
      </c>
      <c r="E8" s="10" t="s">
        <v>72</v>
      </c>
      <c r="F8" s="10" t="s">
        <v>30</v>
      </c>
      <c r="G8" s="12" t="n">
        <v>592</v>
      </c>
      <c r="H8" s="10" t="s">
        <v>73</v>
      </c>
      <c r="I8" s="10" t="s">
        <v>74</v>
      </c>
      <c r="J8" s="10" t="s">
        <v>75</v>
      </c>
      <c r="K8" s="11" t="s">
        <v>76</v>
      </c>
      <c r="L8" s="11" t="s">
        <v>77</v>
      </c>
      <c r="M8" s="10" t="s">
        <v>78</v>
      </c>
      <c r="N8" s="11" t="s">
        <v>79</v>
      </c>
      <c r="O8" s="10" t="s">
        <v>80</v>
      </c>
      <c r="P8" s="11" t="s">
        <v>38</v>
      </c>
      <c r="Q8" s="11" t="s">
        <v>81</v>
      </c>
      <c r="R8" s="11" t="s">
        <v>40</v>
      </c>
      <c r="S8" s="10"/>
      <c r="T8" s="11" t="s">
        <v>41</v>
      </c>
      <c r="U8" s="10" t="n">
        <v>-29.970631</v>
      </c>
      <c r="V8" s="10" t="n">
        <v>-71.325447</v>
      </c>
      <c r="W8" s="11" t="s">
        <v>42</v>
      </c>
      <c r="X8" s="11" t="s">
        <v>82</v>
      </c>
      <c r="Y8" s="11" t="s">
        <v>83</v>
      </c>
    </row>
    <row r="9" customFormat="false" ht="36" hidden="false" customHeight="true" outlineLevel="0" collapsed="false">
      <c r="A9" s="5" t="n">
        <v>5</v>
      </c>
      <c r="B9" s="5" t="n">
        <v>13561</v>
      </c>
      <c r="C9" s="6" t="s">
        <v>84</v>
      </c>
      <c r="D9" s="5" t="s">
        <v>28</v>
      </c>
      <c r="E9" s="5" t="s">
        <v>85</v>
      </c>
      <c r="F9" s="5" t="s">
        <v>30</v>
      </c>
      <c r="G9" s="7" t="n">
        <v>519</v>
      </c>
      <c r="H9" s="5" t="s">
        <v>86</v>
      </c>
      <c r="I9" s="5" t="s">
        <v>87</v>
      </c>
      <c r="J9" s="5" t="s">
        <v>88</v>
      </c>
      <c r="K9" s="6" t="s">
        <v>89</v>
      </c>
      <c r="L9" s="6" t="s">
        <v>90</v>
      </c>
      <c r="M9" s="5" t="s">
        <v>78</v>
      </c>
      <c r="N9" s="6" t="s">
        <v>91</v>
      </c>
      <c r="O9" s="5" t="s">
        <v>92</v>
      </c>
      <c r="P9" s="6" t="s">
        <v>38</v>
      </c>
      <c r="Q9" s="6" t="s">
        <v>93</v>
      </c>
      <c r="R9" s="6" t="s">
        <v>40</v>
      </c>
      <c r="S9" s="5"/>
      <c r="T9" s="6" t="s">
        <v>41</v>
      </c>
      <c r="U9" s="5" t="n">
        <v>-29.990379</v>
      </c>
      <c r="V9" s="5" t="n">
        <v>-71.331596</v>
      </c>
      <c r="W9" s="6" t="s">
        <v>42</v>
      </c>
      <c r="X9" s="6" t="s">
        <v>94</v>
      </c>
      <c r="Y9" s="6"/>
    </row>
    <row r="10" customFormat="false" ht="36" hidden="false" customHeight="true" outlineLevel="0" collapsed="false">
      <c r="A10" s="10" t="n">
        <v>6</v>
      </c>
      <c r="B10" s="10" t="n">
        <v>609</v>
      </c>
      <c r="C10" s="11" t="s">
        <v>95</v>
      </c>
      <c r="D10" s="10" t="s">
        <v>28</v>
      </c>
      <c r="E10" s="10" t="s">
        <v>96</v>
      </c>
      <c r="F10" s="10" t="s">
        <v>30</v>
      </c>
      <c r="G10" s="12" t="n">
        <v>838</v>
      </c>
      <c r="H10" s="10" t="s">
        <v>97</v>
      </c>
      <c r="I10" s="10" t="s">
        <v>98</v>
      </c>
      <c r="J10" s="10" t="s">
        <v>99</v>
      </c>
      <c r="K10" s="11" t="s">
        <v>100</v>
      </c>
      <c r="L10" s="11" t="s">
        <v>101</v>
      </c>
      <c r="M10" s="10" t="s">
        <v>102</v>
      </c>
      <c r="N10" s="11" t="s">
        <v>103</v>
      </c>
      <c r="O10" s="10" t="s">
        <v>104</v>
      </c>
      <c r="P10" s="11" t="s">
        <v>38</v>
      </c>
      <c r="Q10" s="11" t="s">
        <v>105</v>
      </c>
      <c r="R10" s="11" t="s">
        <v>40</v>
      </c>
      <c r="S10" s="10" t="s">
        <v>106</v>
      </c>
      <c r="T10" s="11" t="s">
        <v>41</v>
      </c>
      <c r="U10" s="10" t="n">
        <v>-29.96055</v>
      </c>
      <c r="V10" s="10" t="n">
        <v>-71.340134</v>
      </c>
      <c r="W10" s="11" t="s">
        <v>42</v>
      </c>
      <c r="X10" s="11" t="s">
        <v>107</v>
      </c>
      <c r="Y10" s="11"/>
    </row>
    <row r="11" customFormat="false" ht="36" hidden="false" customHeight="true" outlineLevel="0" collapsed="false">
      <c r="A11" s="5" t="n">
        <v>7</v>
      </c>
      <c r="B11" s="5" t="n">
        <v>13461</v>
      </c>
      <c r="C11" s="6" t="s">
        <v>108</v>
      </c>
      <c r="D11" s="5" t="s">
        <v>28</v>
      </c>
      <c r="E11" s="5" t="s">
        <v>109</v>
      </c>
      <c r="F11" s="5" t="s">
        <v>30</v>
      </c>
      <c r="G11" s="7" t="n">
        <v>353</v>
      </c>
      <c r="H11" s="5" t="s">
        <v>110</v>
      </c>
      <c r="I11" s="5" t="s">
        <v>111</v>
      </c>
      <c r="J11" s="5" t="s">
        <v>112</v>
      </c>
      <c r="K11" s="6" t="s">
        <v>113</v>
      </c>
      <c r="L11" s="6" t="s">
        <v>114</v>
      </c>
      <c r="M11" s="5" t="s">
        <v>115</v>
      </c>
      <c r="N11" s="6" t="s">
        <v>116</v>
      </c>
      <c r="O11" s="5" t="s">
        <v>117</v>
      </c>
      <c r="P11" s="6" t="s">
        <v>118</v>
      </c>
      <c r="Q11" s="6" t="s">
        <v>119</v>
      </c>
      <c r="R11" s="6" t="s">
        <v>40</v>
      </c>
      <c r="S11" s="5"/>
      <c r="T11" s="6" t="s">
        <v>41</v>
      </c>
      <c r="U11" s="5" t="n">
        <v>-30.26264</v>
      </c>
      <c r="V11" s="5" t="n">
        <v>-71.493401</v>
      </c>
      <c r="W11" s="6" t="s">
        <v>42</v>
      </c>
      <c r="X11" s="6" t="s">
        <v>94</v>
      </c>
      <c r="Y11" s="6"/>
    </row>
    <row r="12" customFormat="false" ht="36" hidden="false" customHeight="true" outlineLevel="0" collapsed="false">
      <c r="A12" s="10" t="n">
        <v>8</v>
      </c>
      <c r="B12" s="10" t="n">
        <v>611</v>
      </c>
      <c r="C12" s="11" t="s">
        <v>120</v>
      </c>
      <c r="D12" s="10" t="s">
        <v>28</v>
      </c>
      <c r="E12" s="10" t="s">
        <v>109</v>
      </c>
      <c r="F12" s="10" t="s">
        <v>30</v>
      </c>
      <c r="G12" s="12" t="n">
        <v>474</v>
      </c>
      <c r="H12" s="10" t="s">
        <v>121</v>
      </c>
      <c r="I12" s="10" t="s">
        <v>122</v>
      </c>
      <c r="J12" s="10" t="s">
        <v>123</v>
      </c>
      <c r="K12" s="11" t="s">
        <v>124</v>
      </c>
      <c r="L12" s="11" t="s">
        <v>125</v>
      </c>
      <c r="M12" s="10" t="s">
        <v>126</v>
      </c>
      <c r="N12" s="11" t="s">
        <v>127</v>
      </c>
      <c r="O12" s="10" t="s">
        <v>128</v>
      </c>
      <c r="P12" s="11" t="s">
        <v>129</v>
      </c>
      <c r="Q12" s="11" t="s">
        <v>130</v>
      </c>
      <c r="R12" s="11" t="s">
        <v>40</v>
      </c>
      <c r="S12" s="10"/>
      <c r="T12" s="11" t="s">
        <v>41</v>
      </c>
      <c r="U12" s="10" t="n">
        <v>-29.95303</v>
      </c>
      <c r="V12" s="10" t="n">
        <v>-71.337021</v>
      </c>
      <c r="W12" s="11" t="s">
        <v>42</v>
      </c>
      <c r="X12" s="11" t="s">
        <v>94</v>
      </c>
      <c r="Y12" s="11" t="s">
        <v>83</v>
      </c>
    </row>
    <row r="13" customFormat="false" ht="36" hidden="false" customHeight="true" outlineLevel="0" collapsed="false">
      <c r="A13" s="5" t="n">
        <v>9</v>
      </c>
      <c r="B13" s="5" t="n">
        <v>11139</v>
      </c>
      <c r="C13" s="6" t="s">
        <v>131</v>
      </c>
      <c r="D13" s="5" t="s">
        <v>28</v>
      </c>
      <c r="E13" s="5" t="s">
        <v>96</v>
      </c>
      <c r="F13" s="5" t="s">
        <v>30</v>
      </c>
      <c r="G13" s="7" t="n">
        <v>675</v>
      </c>
      <c r="H13" s="5" t="s">
        <v>132</v>
      </c>
      <c r="I13" s="5" t="s">
        <v>133</v>
      </c>
      <c r="J13" s="5" t="s">
        <v>134</v>
      </c>
      <c r="K13" s="6" t="s">
        <v>135</v>
      </c>
      <c r="L13" s="6" t="s">
        <v>136</v>
      </c>
      <c r="M13" s="5" t="s">
        <v>137</v>
      </c>
      <c r="N13" s="6" t="s">
        <v>138</v>
      </c>
      <c r="O13" s="5" t="s">
        <v>139</v>
      </c>
      <c r="P13" s="6" t="s">
        <v>38</v>
      </c>
      <c r="Q13" s="6" t="s">
        <v>140</v>
      </c>
      <c r="R13" s="6" t="s">
        <v>40</v>
      </c>
      <c r="S13" s="5" t="s">
        <v>141</v>
      </c>
      <c r="T13" s="6" t="s">
        <v>41</v>
      </c>
      <c r="U13" s="5" t="n">
        <v>-29.963869</v>
      </c>
      <c r="V13" s="5" t="n">
        <v>-71.254288</v>
      </c>
      <c r="W13" s="6" t="s">
        <v>42</v>
      </c>
      <c r="X13" s="6" t="s">
        <v>142</v>
      </c>
      <c r="Y13" s="6"/>
    </row>
    <row r="14" customFormat="false" ht="36" hidden="false" customHeight="true" outlineLevel="0" collapsed="false">
      <c r="A14" s="10" t="n">
        <v>10</v>
      </c>
      <c r="B14" s="10" t="n">
        <v>610</v>
      </c>
      <c r="C14" s="11" t="s">
        <v>143</v>
      </c>
      <c r="D14" s="10" t="s">
        <v>28</v>
      </c>
      <c r="E14" s="10" t="s">
        <v>96</v>
      </c>
      <c r="F14" s="10" t="s">
        <v>30</v>
      </c>
      <c r="G14" s="12" t="n">
        <v>583</v>
      </c>
      <c r="H14" s="10" t="s">
        <v>144</v>
      </c>
      <c r="I14" s="10" t="s">
        <v>145</v>
      </c>
      <c r="J14" s="10" t="s">
        <v>146</v>
      </c>
      <c r="K14" s="11" t="s">
        <v>147</v>
      </c>
      <c r="L14" s="11" t="s">
        <v>148</v>
      </c>
      <c r="M14" s="10" t="s">
        <v>149</v>
      </c>
      <c r="N14" s="11" t="s">
        <v>150</v>
      </c>
      <c r="O14" s="10" t="s">
        <v>151</v>
      </c>
      <c r="P14" s="11" t="s">
        <v>118</v>
      </c>
      <c r="Q14" s="11" t="s">
        <v>152</v>
      </c>
      <c r="R14" s="11" t="s">
        <v>40</v>
      </c>
      <c r="S14" s="10"/>
      <c r="T14" s="11" t="s">
        <v>41</v>
      </c>
      <c r="U14" s="10" t="n">
        <v>-29.96525</v>
      </c>
      <c r="V14" s="10" t="n">
        <v>-71.347221</v>
      </c>
      <c r="W14" s="11" t="s">
        <v>42</v>
      </c>
      <c r="X14" s="11" t="s">
        <v>142</v>
      </c>
      <c r="Y14" s="11"/>
    </row>
    <row r="15" customFormat="false" ht="36" hidden="false" customHeight="true" outlineLevel="0" collapsed="false">
      <c r="A15" s="5" t="n">
        <v>11</v>
      </c>
      <c r="B15" s="5" t="n">
        <v>20505</v>
      </c>
      <c r="C15" s="6" t="s">
        <v>153</v>
      </c>
      <c r="D15" s="5" t="s">
        <v>154</v>
      </c>
      <c r="E15" s="5" t="s">
        <v>29</v>
      </c>
      <c r="F15" s="5" t="s">
        <v>30</v>
      </c>
      <c r="G15" s="7" t="n">
        <v>118</v>
      </c>
      <c r="H15" s="5" t="s">
        <v>155</v>
      </c>
      <c r="I15" s="5" t="s">
        <v>156</v>
      </c>
      <c r="J15" s="5" t="s">
        <v>157</v>
      </c>
      <c r="K15" s="6" t="s">
        <v>158</v>
      </c>
      <c r="L15" s="8" t="s">
        <v>35</v>
      </c>
      <c r="M15" s="5" t="s">
        <v>159</v>
      </c>
      <c r="N15" s="6" t="s">
        <v>160</v>
      </c>
      <c r="O15" s="13" t="s">
        <v>161</v>
      </c>
      <c r="P15" s="6"/>
      <c r="Q15" s="6"/>
      <c r="R15" s="6"/>
      <c r="S15" s="5" t="s">
        <v>162</v>
      </c>
      <c r="T15" s="6" t="s">
        <v>163</v>
      </c>
      <c r="U15" s="5" t="n">
        <v>-29.968593</v>
      </c>
      <c r="V15" s="5" t="n">
        <v>-71.337826</v>
      </c>
      <c r="W15" s="6" t="s">
        <v>164</v>
      </c>
      <c r="X15" s="6" t="s">
        <v>142</v>
      </c>
      <c r="Y15" s="6"/>
    </row>
    <row r="16" customFormat="false" ht="36" hidden="false" customHeight="true" outlineLevel="0" collapsed="false">
      <c r="A16" s="10" t="n">
        <v>12</v>
      </c>
      <c r="B16" s="10" t="n">
        <v>40064</v>
      </c>
      <c r="C16" s="11" t="s">
        <v>165</v>
      </c>
      <c r="D16" s="10" t="s">
        <v>154</v>
      </c>
      <c r="E16" s="10" t="s">
        <v>166</v>
      </c>
      <c r="F16" s="10" t="s">
        <v>30</v>
      </c>
      <c r="G16" s="12" t="n">
        <v>614</v>
      </c>
      <c r="H16" s="10" t="s">
        <v>167</v>
      </c>
      <c r="I16" s="10" t="s">
        <v>168</v>
      </c>
      <c r="J16" s="10" t="s">
        <v>169</v>
      </c>
      <c r="K16" s="11" t="s">
        <v>170</v>
      </c>
      <c r="L16" s="11" t="s">
        <v>171</v>
      </c>
      <c r="M16" s="10" t="s">
        <v>172</v>
      </c>
      <c r="N16" s="11" t="s">
        <v>173</v>
      </c>
      <c r="O16" s="13" t="s">
        <v>161</v>
      </c>
      <c r="P16" s="11"/>
      <c r="Q16" s="11"/>
      <c r="R16" s="11"/>
      <c r="S16" s="10" t="s">
        <v>174</v>
      </c>
      <c r="T16" s="11" t="s">
        <v>175</v>
      </c>
      <c r="U16" s="10" t="n">
        <v>-29.970329</v>
      </c>
      <c r="V16" s="10" t="n">
        <v>-71.310333</v>
      </c>
      <c r="W16" s="11" t="s">
        <v>164</v>
      </c>
      <c r="X16" s="11" t="s">
        <v>142</v>
      </c>
      <c r="Y16" s="11"/>
    </row>
    <row r="17" customFormat="false" ht="36" hidden="false" customHeight="true" outlineLevel="0" collapsed="false">
      <c r="A17" s="5" t="n">
        <v>13</v>
      </c>
      <c r="B17" s="5" t="n">
        <v>13491</v>
      </c>
      <c r="C17" s="6" t="s">
        <v>176</v>
      </c>
      <c r="D17" s="5" t="s">
        <v>154</v>
      </c>
      <c r="E17" s="5" t="s">
        <v>29</v>
      </c>
      <c r="F17" s="5" t="s">
        <v>30</v>
      </c>
      <c r="G17" s="7" t="n">
        <v>960</v>
      </c>
      <c r="H17" s="5" t="s">
        <v>177</v>
      </c>
      <c r="I17" s="5" t="s">
        <v>178</v>
      </c>
      <c r="J17" s="5" t="s">
        <v>179</v>
      </c>
      <c r="K17" s="6" t="s">
        <v>180</v>
      </c>
      <c r="L17" s="8" t="s">
        <v>35</v>
      </c>
      <c r="M17" s="5" t="s">
        <v>181</v>
      </c>
      <c r="N17" s="6" t="s">
        <v>182</v>
      </c>
      <c r="O17" s="13" t="s">
        <v>161</v>
      </c>
      <c r="P17" s="6"/>
      <c r="Q17" s="6"/>
      <c r="R17" s="6"/>
      <c r="S17" s="5" t="s">
        <v>183</v>
      </c>
      <c r="T17" s="6" t="s">
        <v>184</v>
      </c>
      <c r="U17" s="5" t="n">
        <v>-29.951099</v>
      </c>
      <c r="V17" s="5" t="n">
        <v>-71.266968</v>
      </c>
      <c r="W17" s="6" t="s">
        <v>164</v>
      </c>
      <c r="X17" s="6" t="s">
        <v>142</v>
      </c>
      <c r="Y17" s="6"/>
    </row>
    <row r="18" customFormat="false" ht="36" hidden="false" customHeight="true" outlineLevel="0" collapsed="false">
      <c r="A18" s="10" t="n">
        <v>14</v>
      </c>
      <c r="B18" s="10" t="n">
        <v>646</v>
      </c>
      <c r="C18" s="11" t="s">
        <v>185</v>
      </c>
      <c r="D18" s="10" t="s">
        <v>154</v>
      </c>
      <c r="E18" s="10" t="s">
        <v>45</v>
      </c>
      <c r="F18" s="10" t="s">
        <v>30</v>
      </c>
      <c r="G18" s="12" t="n">
        <v>1765</v>
      </c>
      <c r="H18" s="10" t="s">
        <v>186</v>
      </c>
      <c r="I18" s="10" t="s">
        <v>187</v>
      </c>
      <c r="J18" s="10" t="s">
        <v>188</v>
      </c>
      <c r="K18" s="11" t="s">
        <v>189</v>
      </c>
      <c r="L18" s="14" t="s">
        <v>35</v>
      </c>
      <c r="M18" s="15" t="s">
        <v>35</v>
      </c>
      <c r="N18" s="11" t="s">
        <v>190</v>
      </c>
      <c r="O18" s="13" t="s">
        <v>161</v>
      </c>
      <c r="P18" s="11"/>
      <c r="Q18" s="11"/>
      <c r="R18" s="11"/>
      <c r="S18" s="10" t="s">
        <v>191</v>
      </c>
      <c r="T18" s="11" t="s">
        <v>192</v>
      </c>
      <c r="U18" s="10" t="n">
        <v>-29.96076</v>
      </c>
      <c r="V18" s="10" t="n">
        <v>-71.337341</v>
      </c>
      <c r="W18" s="11" t="s">
        <v>164</v>
      </c>
      <c r="X18" s="11"/>
      <c r="Y18" s="11"/>
    </row>
    <row r="19" customFormat="false" ht="36" hidden="false" customHeight="true" outlineLevel="0" collapsed="false">
      <c r="A19" s="5" t="n">
        <v>15</v>
      </c>
      <c r="B19" s="5" t="n">
        <v>13314</v>
      </c>
      <c r="C19" s="6" t="s">
        <v>193</v>
      </c>
      <c r="D19" s="5" t="s">
        <v>154</v>
      </c>
      <c r="E19" s="5" t="s">
        <v>29</v>
      </c>
      <c r="F19" s="5" t="s">
        <v>30</v>
      </c>
      <c r="G19" s="7" t="n">
        <v>924</v>
      </c>
      <c r="H19" s="5" t="s">
        <v>194</v>
      </c>
      <c r="I19" s="5" t="s">
        <v>195</v>
      </c>
      <c r="J19" s="5" t="s">
        <v>196</v>
      </c>
      <c r="K19" s="6" t="s">
        <v>197</v>
      </c>
      <c r="L19" s="8" t="s">
        <v>35</v>
      </c>
      <c r="M19" s="5" t="s">
        <v>198</v>
      </c>
      <c r="N19" s="6" t="s">
        <v>199</v>
      </c>
      <c r="O19" s="13" t="s">
        <v>161</v>
      </c>
      <c r="P19" s="6"/>
      <c r="Q19" s="6"/>
      <c r="R19" s="6"/>
      <c r="S19" s="5" t="s">
        <v>200</v>
      </c>
      <c r="T19" s="6" t="s">
        <v>201</v>
      </c>
      <c r="U19" s="5" t="n">
        <v>-29.99188</v>
      </c>
      <c r="V19" s="5" t="n">
        <v>-71.330429</v>
      </c>
      <c r="W19" s="6" t="s">
        <v>164</v>
      </c>
      <c r="X19" s="6" t="s">
        <v>142</v>
      </c>
      <c r="Y19" s="6"/>
    </row>
    <row r="20" customFormat="false" ht="36" hidden="false" customHeight="true" outlineLevel="0" collapsed="false">
      <c r="A20" s="10" t="n">
        <v>16</v>
      </c>
      <c r="B20" s="10" t="n">
        <v>13621</v>
      </c>
      <c r="C20" s="11" t="s">
        <v>202</v>
      </c>
      <c r="D20" s="10" t="s">
        <v>154</v>
      </c>
      <c r="E20" s="10" t="s">
        <v>29</v>
      </c>
      <c r="F20" s="10" t="s">
        <v>30</v>
      </c>
      <c r="G20" s="12" t="n">
        <v>504</v>
      </c>
      <c r="H20" s="10" t="s">
        <v>203</v>
      </c>
      <c r="I20" s="10" t="s">
        <v>204</v>
      </c>
      <c r="J20" s="10" t="s">
        <v>205</v>
      </c>
      <c r="K20" s="11" t="s">
        <v>206</v>
      </c>
      <c r="L20" s="14" t="s">
        <v>35</v>
      </c>
      <c r="M20" s="10" t="s">
        <v>207</v>
      </c>
      <c r="N20" s="11" t="s">
        <v>208</v>
      </c>
      <c r="O20" s="13" t="s">
        <v>161</v>
      </c>
      <c r="P20" s="11"/>
      <c r="Q20" s="11"/>
      <c r="R20" s="11"/>
      <c r="S20" s="10" t="s">
        <v>209</v>
      </c>
      <c r="T20" s="11" t="s">
        <v>210</v>
      </c>
      <c r="U20" s="10" t="n">
        <v>-29.967319</v>
      </c>
      <c r="V20" s="10" t="n">
        <v>-71.344543</v>
      </c>
      <c r="W20" s="11" t="s">
        <v>164</v>
      </c>
      <c r="X20" s="11" t="s">
        <v>142</v>
      </c>
      <c r="Y20" s="11"/>
    </row>
    <row r="21" customFormat="false" ht="36" hidden="false" customHeight="true" outlineLevel="0" collapsed="false">
      <c r="A21" s="5" t="n">
        <v>17</v>
      </c>
      <c r="B21" s="5" t="n">
        <v>13445</v>
      </c>
      <c r="C21" s="6" t="s">
        <v>211</v>
      </c>
      <c r="D21" s="5" t="s">
        <v>154</v>
      </c>
      <c r="E21" s="5" t="s">
        <v>212</v>
      </c>
      <c r="F21" s="5" t="s">
        <v>30</v>
      </c>
      <c r="G21" s="7" t="n">
        <v>170</v>
      </c>
      <c r="H21" s="5" t="s">
        <v>213</v>
      </c>
      <c r="I21" s="5" t="s">
        <v>214</v>
      </c>
      <c r="J21" s="5" t="s">
        <v>215</v>
      </c>
      <c r="K21" s="6" t="s">
        <v>216</v>
      </c>
      <c r="L21" s="6" t="s">
        <v>217</v>
      </c>
      <c r="M21" s="5" t="s">
        <v>218</v>
      </c>
      <c r="N21" s="6" t="s">
        <v>219</v>
      </c>
      <c r="O21" s="13" t="s">
        <v>161</v>
      </c>
      <c r="P21" s="6"/>
      <c r="Q21" s="6"/>
      <c r="R21" s="6"/>
      <c r="S21" s="5"/>
      <c r="T21" s="6" t="s">
        <v>220</v>
      </c>
      <c r="U21" s="5" t="n">
        <v>-29.966181</v>
      </c>
      <c r="V21" s="5" t="n">
        <v>-71.341133</v>
      </c>
      <c r="W21" s="6" t="s">
        <v>164</v>
      </c>
      <c r="X21" s="6" t="s">
        <v>142</v>
      </c>
      <c r="Y21" s="6"/>
    </row>
    <row r="22" customFormat="false" ht="36" hidden="false" customHeight="true" outlineLevel="0" collapsed="false">
      <c r="A22" s="10" t="n">
        <v>18</v>
      </c>
      <c r="B22" s="10" t="n">
        <v>13313</v>
      </c>
      <c r="C22" s="11" t="s">
        <v>221</v>
      </c>
      <c r="D22" s="10" t="s">
        <v>154</v>
      </c>
      <c r="E22" s="10" t="s">
        <v>29</v>
      </c>
      <c r="F22" s="10" t="s">
        <v>30</v>
      </c>
      <c r="G22" s="12" t="n">
        <v>2130</v>
      </c>
      <c r="H22" s="10" t="s">
        <v>222</v>
      </c>
      <c r="I22" s="10" t="s">
        <v>223</v>
      </c>
      <c r="J22" s="10" t="s">
        <v>224</v>
      </c>
      <c r="K22" s="11" t="s">
        <v>225</v>
      </c>
      <c r="L22" s="14" t="s">
        <v>35</v>
      </c>
      <c r="M22" s="10" t="s">
        <v>226</v>
      </c>
      <c r="N22" s="11" t="s">
        <v>227</v>
      </c>
      <c r="O22" s="13" t="s">
        <v>161</v>
      </c>
      <c r="P22" s="11"/>
      <c r="Q22" s="11"/>
      <c r="R22" s="11"/>
      <c r="S22" s="10" t="s">
        <v>228</v>
      </c>
      <c r="T22" s="11" t="s">
        <v>229</v>
      </c>
      <c r="U22" s="10" t="n">
        <v>-29.977051</v>
      </c>
      <c r="V22" s="10" t="n">
        <v>-71.34169</v>
      </c>
      <c r="W22" s="11" t="s">
        <v>164</v>
      </c>
      <c r="X22" s="11" t="s">
        <v>142</v>
      </c>
      <c r="Y22" s="11"/>
    </row>
    <row r="23" customFormat="false" ht="36" hidden="false" customHeight="true" outlineLevel="0" collapsed="false">
      <c r="A23" s="5" t="n">
        <v>19</v>
      </c>
      <c r="B23" s="5" t="n">
        <v>647</v>
      </c>
      <c r="C23" s="6" t="s">
        <v>230</v>
      </c>
      <c r="D23" s="5" t="s">
        <v>154</v>
      </c>
      <c r="E23" s="5" t="s">
        <v>85</v>
      </c>
      <c r="F23" s="5" t="s">
        <v>30</v>
      </c>
      <c r="G23" s="7" t="n">
        <v>485</v>
      </c>
      <c r="H23" s="5" t="s">
        <v>231</v>
      </c>
      <c r="I23" s="5" t="s">
        <v>232</v>
      </c>
      <c r="J23" s="5" t="s">
        <v>233</v>
      </c>
      <c r="K23" s="6" t="s">
        <v>234</v>
      </c>
      <c r="L23" s="8" t="s">
        <v>35</v>
      </c>
      <c r="M23" s="9" t="s">
        <v>35</v>
      </c>
      <c r="N23" s="6" t="s">
        <v>235</v>
      </c>
      <c r="O23" s="13" t="s">
        <v>161</v>
      </c>
      <c r="P23" s="6"/>
      <c r="Q23" s="6"/>
      <c r="R23" s="6"/>
      <c r="S23" s="5" t="s">
        <v>236</v>
      </c>
      <c r="T23" s="6" t="s">
        <v>237</v>
      </c>
      <c r="U23" s="5" t="n">
        <v>-29.999411</v>
      </c>
      <c r="V23" s="5" t="n">
        <v>-71.335777</v>
      </c>
      <c r="W23" s="6" t="s">
        <v>164</v>
      </c>
      <c r="X23" s="6"/>
      <c r="Y23" s="6" t="s">
        <v>238</v>
      </c>
    </row>
    <row r="24" customFormat="false" ht="36" hidden="false" customHeight="true" outlineLevel="0" collapsed="false">
      <c r="A24" s="10" t="n">
        <v>20</v>
      </c>
      <c r="B24" s="10" t="n">
        <v>13489</v>
      </c>
      <c r="C24" s="11" t="s">
        <v>239</v>
      </c>
      <c r="D24" s="10" t="s">
        <v>154</v>
      </c>
      <c r="E24" s="10" t="s">
        <v>29</v>
      </c>
      <c r="F24" s="10" t="s">
        <v>30</v>
      </c>
      <c r="G24" s="12" t="n">
        <v>963</v>
      </c>
      <c r="H24" s="10" t="s">
        <v>240</v>
      </c>
      <c r="I24" s="10" t="s">
        <v>241</v>
      </c>
      <c r="J24" s="10" t="s">
        <v>242</v>
      </c>
      <c r="K24" s="11" t="s">
        <v>243</v>
      </c>
      <c r="L24" s="14" t="s">
        <v>35</v>
      </c>
      <c r="M24" s="15" t="s">
        <v>35</v>
      </c>
      <c r="N24" s="11" t="s">
        <v>244</v>
      </c>
      <c r="O24" s="13" t="s">
        <v>161</v>
      </c>
      <c r="P24" s="11"/>
      <c r="Q24" s="11"/>
      <c r="R24" s="11"/>
      <c r="S24" s="10" t="s">
        <v>245</v>
      </c>
      <c r="T24" s="11" t="s">
        <v>246</v>
      </c>
      <c r="U24" s="10" t="n">
        <v>-29.97242</v>
      </c>
      <c r="V24" s="10" t="n">
        <v>-71.256821</v>
      </c>
      <c r="W24" s="11" t="s">
        <v>164</v>
      </c>
      <c r="X24" s="11"/>
      <c r="Y24" s="11"/>
    </row>
    <row r="25" customFormat="false" ht="36" hidden="false" customHeight="true" outlineLevel="0" collapsed="false">
      <c r="A25" s="5" t="n">
        <v>21</v>
      </c>
      <c r="B25" s="5" t="n">
        <v>650</v>
      </c>
      <c r="C25" s="6" t="s">
        <v>247</v>
      </c>
      <c r="D25" s="5" t="s">
        <v>154</v>
      </c>
      <c r="E25" s="5" t="s">
        <v>29</v>
      </c>
      <c r="F25" s="5" t="s">
        <v>30</v>
      </c>
      <c r="G25" s="7" t="n">
        <v>423</v>
      </c>
      <c r="H25" s="5" t="s">
        <v>248</v>
      </c>
      <c r="I25" s="5" t="s">
        <v>249</v>
      </c>
      <c r="J25" s="5" t="s">
        <v>250</v>
      </c>
      <c r="K25" s="6" t="s">
        <v>251</v>
      </c>
      <c r="L25" s="6" t="s">
        <v>252</v>
      </c>
      <c r="M25" s="5" t="s">
        <v>253</v>
      </c>
      <c r="N25" s="6" t="s">
        <v>254</v>
      </c>
      <c r="O25" s="13" t="s">
        <v>161</v>
      </c>
      <c r="P25" s="6"/>
      <c r="Q25" s="6"/>
      <c r="R25" s="6"/>
      <c r="S25" s="5" t="s">
        <v>255</v>
      </c>
      <c r="T25" s="6" t="s">
        <v>256</v>
      </c>
      <c r="U25" s="5" t="n">
        <v>-29.957479</v>
      </c>
      <c r="V25" s="5" t="n">
        <v>-71.343391</v>
      </c>
      <c r="W25" s="6" t="s">
        <v>164</v>
      </c>
      <c r="X25" s="6" t="s">
        <v>142</v>
      </c>
      <c r="Y25" s="6"/>
    </row>
    <row r="26" customFormat="false" ht="36" hidden="false" customHeight="true" outlineLevel="0" collapsed="false">
      <c r="A26" s="10" t="n">
        <v>22</v>
      </c>
      <c r="B26" s="10" t="n">
        <v>13341</v>
      </c>
      <c r="C26" s="11" t="s">
        <v>257</v>
      </c>
      <c r="D26" s="10" t="s">
        <v>154</v>
      </c>
      <c r="E26" s="10" t="s">
        <v>45</v>
      </c>
      <c r="F26" s="10" t="s">
        <v>30</v>
      </c>
      <c r="G26" s="12" t="n">
        <v>286</v>
      </c>
      <c r="H26" s="10" t="s">
        <v>258</v>
      </c>
      <c r="I26" s="10" t="s">
        <v>259</v>
      </c>
      <c r="J26" s="10" t="s">
        <v>260</v>
      </c>
      <c r="K26" s="11" t="s">
        <v>261</v>
      </c>
      <c r="L26" s="14" t="s">
        <v>35</v>
      </c>
      <c r="M26" s="10" t="s">
        <v>262</v>
      </c>
      <c r="N26" s="11" t="s">
        <v>263</v>
      </c>
      <c r="O26" s="13" t="s">
        <v>161</v>
      </c>
      <c r="P26" s="11"/>
      <c r="Q26" s="11"/>
      <c r="R26" s="11"/>
      <c r="S26" s="10" t="s">
        <v>264</v>
      </c>
      <c r="T26" s="11" t="s">
        <v>265</v>
      </c>
      <c r="U26" s="10" t="n">
        <v>-29.983101</v>
      </c>
      <c r="V26" s="10" t="n">
        <v>-71.334297</v>
      </c>
      <c r="W26" s="11" t="s">
        <v>164</v>
      </c>
      <c r="X26" s="11" t="s">
        <v>142</v>
      </c>
      <c r="Y26" s="11" t="s">
        <v>266</v>
      </c>
    </row>
    <row r="27" customFormat="false" ht="36" hidden="false" customHeight="true" outlineLevel="0" collapsed="false">
      <c r="A27" s="5" t="n">
        <v>23</v>
      </c>
      <c r="B27" s="5" t="n">
        <v>11145</v>
      </c>
      <c r="C27" s="6" t="s">
        <v>267</v>
      </c>
      <c r="D27" s="5" t="s">
        <v>154</v>
      </c>
      <c r="E27" s="5" t="s">
        <v>29</v>
      </c>
      <c r="F27" s="5" t="s">
        <v>30</v>
      </c>
      <c r="G27" s="7" t="n">
        <v>604</v>
      </c>
      <c r="H27" s="5" t="s">
        <v>268</v>
      </c>
      <c r="I27" s="5" t="s">
        <v>269</v>
      </c>
      <c r="J27" s="5" t="s">
        <v>270</v>
      </c>
      <c r="K27" s="6" t="s">
        <v>271</v>
      </c>
      <c r="L27" s="8" t="s">
        <v>35</v>
      </c>
      <c r="M27" s="9" t="s">
        <v>35</v>
      </c>
      <c r="N27" s="6" t="s">
        <v>272</v>
      </c>
      <c r="O27" s="13" t="s">
        <v>161</v>
      </c>
      <c r="P27" s="6"/>
      <c r="Q27" s="6"/>
      <c r="R27" s="6"/>
      <c r="S27" s="5" t="s">
        <v>273</v>
      </c>
      <c r="T27" s="6" t="s">
        <v>274</v>
      </c>
      <c r="U27" s="5" t="n">
        <v>-29.966249</v>
      </c>
      <c r="V27" s="5" t="n">
        <v>-71.256844</v>
      </c>
      <c r="W27" s="6" t="s">
        <v>164</v>
      </c>
      <c r="X27" s="6"/>
      <c r="Y27" s="6"/>
    </row>
    <row r="28" customFormat="false" ht="36" hidden="false" customHeight="true" outlineLevel="0" collapsed="false">
      <c r="A28" s="10" t="n">
        <v>24</v>
      </c>
      <c r="B28" s="10" t="n">
        <v>649</v>
      </c>
      <c r="C28" s="11" t="s">
        <v>275</v>
      </c>
      <c r="D28" s="10" t="s">
        <v>154</v>
      </c>
      <c r="E28" s="10" t="s">
        <v>29</v>
      </c>
      <c r="F28" s="10" t="s">
        <v>30</v>
      </c>
      <c r="G28" s="12" t="n">
        <v>1496</v>
      </c>
      <c r="H28" s="10" t="s">
        <v>276</v>
      </c>
      <c r="I28" s="10" t="s">
        <v>277</v>
      </c>
      <c r="J28" s="10" t="s">
        <v>278</v>
      </c>
      <c r="K28" s="11" t="s">
        <v>279</v>
      </c>
      <c r="L28" s="14" t="s">
        <v>35</v>
      </c>
      <c r="M28" s="15" t="s">
        <v>35</v>
      </c>
      <c r="N28" s="11" t="s">
        <v>280</v>
      </c>
      <c r="O28" s="13" t="s">
        <v>161</v>
      </c>
      <c r="P28" s="11"/>
      <c r="Q28" s="11"/>
      <c r="R28" s="11"/>
      <c r="S28" s="10" t="s">
        <v>281</v>
      </c>
      <c r="T28" s="11" t="s">
        <v>282</v>
      </c>
      <c r="U28" s="10" t="n">
        <v>-29.963671</v>
      </c>
      <c r="V28" s="10" t="n">
        <v>-71.339043</v>
      </c>
      <c r="W28" s="11" t="s">
        <v>164</v>
      </c>
      <c r="X28" s="11"/>
      <c r="Y28" s="11"/>
    </row>
    <row r="29" customFormat="false" ht="36" hidden="false" customHeight="true" outlineLevel="0" collapsed="false">
      <c r="A29" s="5" t="n">
        <v>25</v>
      </c>
      <c r="B29" s="5" t="n">
        <v>13373</v>
      </c>
      <c r="C29" s="6" t="s">
        <v>283</v>
      </c>
      <c r="D29" s="5" t="s">
        <v>154</v>
      </c>
      <c r="E29" s="5" t="s">
        <v>29</v>
      </c>
      <c r="F29" s="5" t="s">
        <v>30</v>
      </c>
      <c r="G29" s="7" t="n">
        <v>918</v>
      </c>
      <c r="H29" s="5" t="s">
        <v>284</v>
      </c>
      <c r="I29" s="5" t="s">
        <v>285</v>
      </c>
      <c r="J29" s="5" t="s">
        <v>286</v>
      </c>
      <c r="K29" s="6" t="s">
        <v>287</v>
      </c>
      <c r="L29" s="6" t="s">
        <v>288</v>
      </c>
      <c r="M29" s="5" t="s">
        <v>289</v>
      </c>
      <c r="N29" s="6" t="s">
        <v>290</v>
      </c>
      <c r="O29" s="13" t="s">
        <v>161</v>
      </c>
      <c r="P29" s="6"/>
      <c r="Q29" s="6"/>
      <c r="R29" s="6"/>
      <c r="S29" s="5" t="s">
        <v>291</v>
      </c>
      <c r="T29" s="6" t="s">
        <v>292</v>
      </c>
      <c r="U29" s="5" t="n">
        <v>-29.95256</v>
      </c>
      <c r="V29" s="5" t="n">
        <v>-71.270157</v>
      </c>
      <c r="W29" s="6" t="s">
        <v>164</v>
      </c>
      <c r="X29" s="6" t="s">
        <v>142</v>
      </c>
      <c r="Y29" s="6"/>
    </row>
    <row r="30" customFormat="false" ht="36" hidden="false" customHeight="true" outlineLevel="0" collapsed="false">
      <c r="A30" s="10" t="n">
        <v>26</v>
      </c>
      <c r="B30" s="10" t="n">
        <v>11133</v>
      </c>
      <c r="C30" s="11" t="s">
        <v>293</v>
      </c>
      <c r="D30" s="10" t="s">
        <v>154</v>
      </c>
      <c r="E30" s="10" t="s">
        <v>85</v>
      </c>
      <c r="F30" s="10" t="s">
        <v>30</v>
      </c>
      <c r="G30" s="12" t="n">
        <v>300</v>
      </c>
      <c r="H30" s="10" t="s">
        <v>294</v>
      </c>
      <c r="I30" s="10" t="s">
        <v>295</v>
      </c>
      <c r="J30" s="10" t="s">
        <v>296</v>
      </c>
      <c r="K30" s="11" t="s">
        <v>297</v>
      </c>
      <c r="L30" s="14" t="s">
        <v>35</v>
      </c>
      <c r="M30" s="15" t="s">
        <v>35</v>
      </c>
      <c r="N30" s="11" t="s">
        <v>298</v>
      </c>
      <c r="O30" s="13" t="s">
        <v>161</v>
      </c>
      <c r="P30" s="11"/>
      <c r="Q30" s="11"/>
      <c r="R30" s="11"/>
      <c r="S30" s="10"/>
      <c r="T30" s="11" t="s">
        <v>299</v>
      </c>
      <c r="U30" s="10" t="n">
        <v>-29.962021</v>
      </c>
      <c r="V30" s="10" t="n">
        <v>-71.339333</v>
      </c>
      <c r="W30" s="11" t="s">
        <v>164</v>
      </c>
      <c r="X30" s="11"/>
      <c r="Y30" s="11" t="s">
        <v>238</v>
      </c>
    </row>
    <row r="31" customFormat="false" ht="36" hidden="false" customHeight="true" outlineLevel="0" collapsed="false">
      <c r="A31" s="5" t="n">
        <v>27</v>
      </c>
      <c r="B31" s="5" t="n">
        <v>13604</v>
      </c>
      <c r="C31" s="6" t="s">
        <v>300</v>
      </c>
      <c r="D31" s="5" t="s">
        <v>154</v>
      </c>
      <c r="E31" s="5" t="s">
        <v>29</v>
      </c>
      <c r="F31" s="5" t="s">
        <v>30</v>
      </c>
      <c r="G31" s="7" t="n">
        <v>590</v>
      </c>
      <c r="H31" s="5" t="s">
        <v>301</v>
      </c>
      <c r="I31" s="5" t="s">
        <v>302</v>
      </c>
      <c r="J31" s="5" t="s">
        <v>303</v>
      </c>
      <c r="K31" s="6" t="s">
        <v>304</v>
      </c>
      <c r="L31" s="8" t="s">
        <v>35</v>
      </c>
      <c r="M31" s="5" t="s">
        <v>305</v>
      </c>
      <c r="N31" s="6" t="s">
        <v>306</v>
      </c>
      <c r="O31" s="13" t="s">
        <v>161</v>
      </c>
      <c r="P31" s="6"/>
      <c r="Q31" s="6"/>
      <c r="R31" s="6"/>
      <c r="S31" s="5" t="s">
        <v>307</v>
      </c>
      <c r="T31" s="6" t="s">
        <v>308</v>
      </c>
      <c r="U31" s="5" t="n">
        <v>-29.9666</v>
      </c>
      <c r="V31" s="5" t="n">
        <v>-71.31031</v>
      </c>
      <c r="W31" s="6" t="s">
        <v>164</v>
      </c>
      <c r="X31" s="6" t="s">
        <v>142</v>
      </c>
      <c r="Y31" s="6" t="s">
        <v>309</v>
      </c>
    </row>
    <row r="32" customFormat="false" ht="36" hidden="false" customHeight="true" outlineLevel="0" collapsed="false">
      <c r="A32" s="10" t="n">
        <v>28</v>
      </c>
      <c r="B32" s="10" t="n">
        <v>13504</v>
      </c>
      <c r="C32" s="11" t="s">
        <v>310</v>
      </c>
      <c r="D32" s="10" t="s">
        <v>154</v>
      </c>
      <c r="E32" s="10" t="s">
        <v>29</v>
      </c>
      <c r="F32" s="10" t="s">
        <v>30</v>
      </c>
      <c r="G32" s="12" t="n">
        <v>1255</v>
      </c>
      <c r="H32" s="10" t="s">
        <v>311</v>
      </c>
      <c r="I32" s="10" t="s">
        <v>312</v>
      </c>
      <c r="J32" s="10" t="s">
        <v>313</v>
      </c>
      <c r="K32" s="11" t="s">
        <v>314</v>
      </c>
      <c r="L32" s="14" t="s">
        <v>35</v>
      </c>
      <c r="M32" s="15" t="s">
        <v>35</v>
      </c>
      <c r="N32" s="11" t="s">
        <v>315</v>
      </c>
      <c r="O32" s="13" t="s">
        <v>161</v>
      </c>
      <c r="P32" s="11"/>
      <c r="Q32" s="11"/>
      <c r="R32" s="11"/>
      <c r="S32" s="10" t="s">
        <v>316</v>
      </c>
      <c r="T32" s="11" t="s">
        <v>317</v>
      </c>
      <c r="U32" s="10" t="n">
        <v>-29.97743</v>
      </c>
      <c r="V32" s="10" t="n">
        <v>-71.293388</v>
      </c>
      <c r="W32" s="11" t="s">
        <v>164</v>
      </c>
      <c r="X32" s="11"/>
      <c r="Y32" s="11"/>
    </row>
    <row r="33" customFormat="false" ht="36" hidden="false" customHeight="true" outlineLevel="0" collapsed="false">
      <c r="A33" s="5" t="n">
        <v>29</v>
      </c>
      <c r="B33" s="5" t="n">
        <v>13626</v>
      </c>
      <c r="C33" s="6" t="s">
        <v>318</v>
      </c>
      <c r="D33" s="5" t="s">
        <v>154</v>
      </c>
      <c r="E33" s="5" t="s">
        <v>29</v>
      </c>
      <c r="F33" s="5" t="s">
        <v>30</v>
      </c>
      <c r="G33" s="7" t="n">
        <v>358</v>
      </c>
      <c r="H33" s="5" t="s">
        <v>319</v>
      </c>
      <c r="I33" s="5" t="s">
        <v>320</v>
      </c>
      <c r="J33" s="5" t="s">
        <v>321</v>
      </c>
      <c r="K33" s="6" t="s">
        <v>322</v>
      </c>
      <c r="L33" s="8" t="s">
        <v>35</v>
      </c>
      <c r="M33" s="9" t="s">
        <v>35</v>
      </c>
      <c r="N33" s="6" t="s">
        <v>323</v>
      </c>
      <c r="O33" s="13" t="s">
        <v>161</v>
      </c>
      <c r="P33" s="6"/>
      <c r="Q33" s="6"/>
      <c r="R33" s="6"/>
      <c r="S33" s="5" t="s">
        <v>324</v>
      </c>
      <c r="T33" s="6" t="s">
        <v>325</v>
      </c>
      <c r="U33" s="5" t="n">
        <v>-29.96158</v>
      </c>
      <c r="V33" s="5" t="n">
        <v>-71.342957</v>
      </c>
      <c r="W33" s="6" t="s">
        <v>164</v>
      </c>
      <c r="X33" s="6"/>
      <c r="Y33" s="6"/>
    </row>
    <row r="34" customFormat="false" ht="36" hidden="false" customHeight="true" outlineLevel="0" collapsed="false">
      <c r="A34" s="10" t="n">
        <v>30</v>
      </c>
      <c r="B34" s="10" t="n">
        <v>13442</v>
      </c>
      <c r="C34" s="11" t="s">
        <v>326</v>
      </c>
      <c r="D34" s="10" t="s">
        <v>154</v>
      </c>
      <c r="E34" s="10" t="s">
        <v>29</v>
      </c>
      <c r="F34" s="10" t="s">
        <v>30</v>
      </c>
      <c r="G34" s="12" t="n">
        <v>1233</v>
      </c>
      <c r="H34" s="10" t="s">
        <v>327</v>
      </c>
      <c r="I34" s="10" t="s">
        <v>328</v>
      </c>
      <c r="J34" s="10" t="s">
        <v>329</v>
      </c>
      <c r="K34" s="11" t="s">
        <v>330</v>
      </c>
      <c r="L34" s="14" t="s">
        <v>35</v>
      </c>
      <c r="M34" s="10" t="s">
        <v>331</v>
      </c>
      <c r="N34" s="11" t="s">
        <v>332</v>
      </c>
      <c r="O34" s="13" t="s">
        <v>161</v>
      </c>
      <c r="P34" s="11"/>
      <c r="Q34" s="11"/>
      <c r="R34" s="11"/>
      <c r="S34" s="10" t="s">
        <v>333</v>
      </c>
      <c r="T34" s="11" t="s">
        <v>334</v>
      </c>
      <c r="U34" s="10" t="n">
        <v>-29.99054</v>
      </c>
      <c r="V34" s="10" t="n">
        <v>-71.334129</v>
      </c>
      <c r="W34" s="11" t="s">
        <v>164</v>
      </c>
      <c r="X34" s="11" t="s">
        <v>142</v>
      </c>
      <c r="Y34" s="11"/>
    </row>
    <row r="35" customFormat="false" ht="36" hidden="false" customHeight="true" outlineLevel="0" collapsed="false">
      <c r="A35" s="5" t="n">
        <v>31</v>
      </c>
      <c r="B35" s="5" t="n">
        <v>13553</v>
      </c>
      <c r="C35" s="6" t="s">
        <v>335</v>
      </c>
      <c r="D35" s="5" t="s">
        <v>154</v>
      </c>
      <c r="E35" s="5" t="s">
        <v>212</v>
      </c>
      <c r="F35" s="5" t="s">
        <v>30</v>
      </c>
      <c r="G35" s="7" t="n">
        <v>115</v>
      </c>
      <c r="H35" s="5" t="s">
        <v>336</v>
      </c>
      <c r="I35" s="5" t="s">
        <v>337</v>
      </c>
      <c r="J35" s="5" t="s">
        <v>338</v>
      </c>
      <c r="K35" s="6" t="s">
        <v>339</v>
      </c>
      <c r="L35" s="8" t="s">
        <v>35</v>
      </c>
      <c r="M35" s="9" t="s">
        <v>35</v>
      </c>
      <c r="N35" s="6" t="s">
        <v>340</v>
      </c>
      <c r="O35" s="13" t="s">
        <v>161</v>
      </c>
      <c r="P35" s="6"/>
      <c r="Q35" s="6"/>
      <c r="R35" s="6"/>
      <c r="S35" s="5" t="s">
        <v>341</v>
      </c>
      <c r="T35" s="6" t="s">
        <v>342</v>
      </c>
      <c r="U35" s="5" t="n">
        <v>-29.96242</v>
      </c>
      <c r="V35" s="5" t="n">
        <v>-71.337532</v>
      </c>
      <c r="W35" s="6" t="s">
        <v>164</v>
      </c>
      <c r="X35" s="6"/>
      <c r="Y35" s="6"/>
    </row>
    <row r="36" customFormat="false" ht="36" hidden="false" customHeight="true" outlineLevel="0" collapsed="false">
      <c r="A36" s="10" t="n">
        <v>32</v>
      </c>
      <c r="B36" s="10" t="n">
        <v>13324</v>
      </c>
      <c r="C36" s="11" t="s">
        <v>343</v>
      </c>
      <c r="D36" s="10" t="s">
        <v>154</v>
      </c>
      <c r="E36" s="10" t="s">
        <v>29</v>
      </c>
      <c r="F36" s="10" t="s">
        <v>30</v>
      </c>
      <c r="G36" s="12" t="n">
        <v>809</v>
      </c>
      <c r="H36" s="10" t="s">
        <v>344</v>
      </c>
      <c r="I36" s="10" t="s">
        <v>345</v>
      </c>
      <c r="J36" s="10" t="s">
        <v>346</v>
      </c>
      <c r="K36" s="11" t="s">
        <v>347</v>
      </c>
      <c r="L36" s="14" t="s">
        <v>35</v>
      </c>
      <c r="M36" s="15" t="s">
        <v>35</v>
      </c>
      <c r="N36" s="11" t="s">
        <v>348</v>
      </c>
      <c r="O36" s="13" t="s">
        <v>161</v>
      </c>
      <c r="P36" s="11"/>
      <c r="Q36" s="11"/>
      <c r="R36" s="11"/>
      <c r="S36" s="10" t="s">
        <v>349</v>
      </c>
      <c r="T36" s="11" t="s">
        <v>350</v>
      </c>
      <c r="U36" s="10" t="n">
        <v>-29.98431</v>
      </c>
      <c r="V36" s="10" t="n">
        <v>-71.34539</v>
      </c>
      <c r="W36" s="11" t="s">
        <v>164</v>
      </c>
      <c r="X36" s="11"/>
      <c r="Y36" s="11" t="s">
        <v>309</v>
      </c>
    </row>
    <row r="37" customFormat="false" ht="36" hidden="false" customHeight="true" outlineLevel="0" collapsed="false">
      <c r="A37" s="5" t="n">
        <v>33</v>
      </c>
      <c r="B37" s="5" t="n">
        <v>648</v>
      </c>
      <c r="C37" s="6" t="s">
        <v>351</v>
      </c>
      <c r="D37" s="5" t="s">
        <v>154</v>
      </c>
      <c r="E37" s="5" t="s">
        <v>29</v>
      </c>
      <c r="F37" s="5" t="s">
        <v>30</v>
      </c>
      <c r="G37" s="7" t="n">
        <v>1125</v>
      </c>
      <c r="H37" s="5" t="s">
        <v>352</v>
      </c>
      <c r="I37" s="5" t="s">
        <v>353</v>
      </c>
      <c r="J37" s="5" t="s">
        <v>354</v>
      </c>
      <c r="K37" s="6" t="s">
        <v>355</v>
      </c>
      <c r="L37" s="8" t="s">
        <v>35</v>
      </c>
      <c r="M37" s="9" t="s">
        <v>35</v>
      </c>
      <c r="N37" s="6" t="s">
        <v>356</v>
      </c>
      <c r="O37" s="13" t="s">
        <v>161</v>
      </c>
      <c r="P37" s="6"/>
      <c r="Q37" s="6"/>
      <c r="R37" s="6"/>
      <c r="S37" s="5" t="s">
        <v>357</v>
      </c>
      <c r="T37" s="6" t="s">
        <v>358</v>
      </c>
      <c r="U37" s="5" t="n">
        <v>-29.96142</v>
      </c>
      <c r="V37" s="5" t="n">
        <v>-71.34729</v>
      </c>
      <c r="W37" s="6" t="s">
        <v>164</v>
      </c>
      <c r="X37" s="6"/>
      <c r="Y37" s="6"/>
    </row>
    <row r="38" customFormat="false" ht="36" hidden="false" customHeight="true" outlineLevel="0" collapsed="false">
      <c r="A38" s="10" t="n">
        <v>34</v>
      </c>
      <c r="B38" s="10" t="n">
        <v>40208</v>
      </c>
      <c r="C38" s="11" t="s">
        <v>359</v>
      </c>
      <c r="D38" s="10" t="s">
        <v>154</v>
      </c>
      <c r="E38" s="10" t="s">
        <v>360</v>
      </c>
      <c r="F38" s="10" t="s">
        <v>30</v>
      </c>
      <c r="G38" s="12" t="n">
        <v>350</v>
      </c>
      <c r="H38" s="10" t="s">
        <v>361</v>
      </c>
      <c r="I38" s="10" t="s">
        <v>362</v>
      </c>
      <c r="J38" s="10" t="s">
        <v>363</v>
      </c>
      <c r="K38" s="11" t="s">
        <v>364</v>
      </c>
      <c r="L38" s="11" t="s">
        <v>365</v>
      </c>
      <c r="M38" s="10" t="s">
        <v>366</v>
      </c>
      <c r="N38" s="11" t="s">
        <v>367</v>
      </c>
      <c r="O38" s="13" t="s">
        <v>161</v>
      </c>
      <c r="P38" s="11"/>
      <c r="Q38" s="11"/>
      <c r="R38" s="11"/>
      <c r="S38" s="10" t="s">
        <v>368</v>
      </c>
      <c r="T38" s="11" t="s">
        <v>369</v>
      </c>
      <c r="U38" s="10" t="n">
        <v>-29.953421</v>
      </c>
      <c r="V38" s="10" t="n">
        <v>-71.248123</v>
      </c>
      <c r="W38" s="11" t="s">
        <v>164</v>
      </c>
      <c r="X38" s="11" t="s">
        <v>142</v>
      </c>
      <c r="Y38" s="11" t="s">
        <v>238</v>
      </c>
    </row>
    <row r="39" customFormat="false" ht="36" hidden="false" customHeight="true" outlineLevel="0" collapsed="false">
      <c r="A39" s="5" t="n">
        <v>35</v>
      </c>
      <c r="B39" s="5" t="n">
        <v>11144</v>
      </c>
      <c r="C39" s="6" t="s">
        <v>370</v>
      </c>
      <c r="D39" s="5" t="s">
        <v>154</v>
      </c>
      <c r="E39" s="5" t="s">
        <v>45</v>
      </c>
      <c r="F39" s="5" t="s">
        <v>30</v>
      </c>
      <c r="G39" s="7" t="n">
        <v>1167</v>
      </c>
      <c r="H39" s="5" t="s">
        <v>371</v>
      </c>
      <c r="I39" s="5" t="s">
        <v>372</v>
      </c>
      <c r="J39" s="5" t="s">
        <v>373</v>
      </c>
      <c r="K39" s="6" t="s">
        <v>374</v>
      </c>
      <c r="L39" s="6" t="s">
        <v>375</v>
      </c>
      <c r="M39" s="5" t="s">
        <v>376</v>
      </c>
      <c r="N39" s="6" t="s">
        <v>377</v>
      </c>
      <c r="O39" s="13" t="s">
        <v>161</v>
      </c>
      <c r="P39" s="6"/>
      <c r="Q39" s="6"/>
      <c r="R39" s="6"/>
      <c r="S39" s="5" t="s">
        <v>378</v>
      </c>
      <c r="T39" s="6" t="s">
        <v>379</v>
      </c>
      <c r="U39" s="5" t="n">
        <v>-29.95982</v>
      </c>
      <c r="V39" s="5" t="n">
        <v>-71.250908</v>
      </c>
      <c r="W39" s="6" t="s">
        <v>164</v>
      </c>
      <c r="X39" s="6" t="s">
        <v>142</v>
      </c>
      <c r="Y39" s="6"/>
    </row>
    <row r="40" customFormat="false" ht="36" hidden="false" customHeight="true" outlineLevel="0" collapsed="false">
      <c r="A40" s="10" t="n">
        <v>36</v>
      </c>
      <c r="B40" s="10" t="n">
        <v>13633</v>
      </c>
      <c r="C40" s="11" t="s">
        <v>380</v>
      </c>
      <c r="D40" s="10" t="s">
        <v>154</v>
      </c>
      <c r="E40" s="10" t="s">
        <v>29</v>
      </c>
      <c r="F40" s="10" t="s">
        <v>30</v>
      </c>
      <c r="G40" s="12" t="n">
        <v>492</v>
      </c>
      <c r="H40" s="10" t="s">
        <v>381</v>
      </c>
      <c r="I40" s="10" t="s">
        <v>382</v>
      </c>
      <c r="J40" s="10" t="s">
        <v>383</v>
      </c>
      <c r="K40" s="11" t="s">
        <v>384</v>
      </c>
      <c r="L40" s="11" t="s">
        <v>385</v>
      </c>
      <c r="M40" s="10" t="s">
        <v>207</v>
      </c>
      <c r="N40" s="11" t="s">
        <v>386</v>
      </c>
      <c r="O40" s="13" t="s">
        <v>161</v>
      </c>
      <c r="P40" s="11"/>
      <c r="Q40" s="11"/>
      <c r="R40" s="11"/>
      <c r="S40" s="10" t="s">
        <v>387</v>
      </c>
      <c r="T40" s="11" t="s">
        <v>388</v>
      </c>
      <c r="U40" s="10" t="n">
        <v>-29.970921</v>
      </c>
      <c r="V40" s="10" t="n">
        <v>-71.299721</v>
      </c>
      <c r="W40" s="11" t="s">
        <v>164</v>
      </c>
      <c r="X40" s="11" t="s">
        <v>142</v>
      </c>
      <c r="Y40" s="11"/>
    </row>
    <row r="41" customFormat="false" ht="36" hidden="false" customHeight="true" outlineLevel="0" collapsed="false">
      <c r="A41" s="5" t="n">
        <v>37</v>
      </c>
      <c r="B41" s="5" t="n">
        <v>13361</v>
      </c>
      <c r="C41" s="6" t="s">
        <v>389</v>
      </c>
      <c r="D41" s="5" t="s">
        <v>154</v>
      </c>
      <c r="E41" s="5" t="s">
        <v>29</v>
      </c>
      <c r="F41" s="5" t="s">
        <v>30</v>
      </c>
      <c r="G41" s="7" t="n">
        <v>997</v>
      </c>
      <c r="H41" s="5" t="s">
        <v>390</v>
      </c>
      <c r="I41" s="5" t="s">
        <v>391</v>
      </c>
      <c r="J41" s="5" t="s">
        <v>392</v>
      </c>
      <c r="K41" s="6" t="s">
        <v>393</v>
      </c>
      <c r="L41" s="8" t="s">
        <v>35</v>
      </c>
      <c r="M41" s="5" t="s">
        <v>394</v>
      </c>
      <c r="N41" s="6" t="s">
        <v>395</v>
      </c>
      <c r="O41" s="13" t="s">
        <v>161</v>
      </c>
      <c r="P41" s="6"/>
      <c r="Q41" s="6"/>
      <c r="R41" s="6"/>
      <c r="S41" s="5" t="s">
        <v>396</v>
      </c>
      <c r="T41" s="6" t="s">
        <v>397</v>
      </c>
      <c r="U41" s="5" t="n">
        <v>-29.964211</v>
      </c>
      <c r="V41" s="5" t="n">
        <v>-71.342949</v>
      </c>
      <c r="W41" s="6" t="s">
        <v>164</v>
      </c>
      <c r="X41" s="6" t="s">
        <v>142</v>
      </c>
      <c r="Y41" s="6"/>
    </row>
    <row r="42" customFormat="false" ht="36" hidden="false" customHeight="true" outlineLevel="0" collapsed="false">
      <c r="A42" s="10" t="n">
        <v>38</v>
      </c>
      <c r="B42" s="10" t="n">
        <v>11105</v>
      </c>
      <c r="C42" s="11" t="s">
        <v>398</v>
      </c>
      <c r="D42" s="10" t="s">
        <v>154</v>
      </c>
      <c r="E42" s="10" t="s">
        <v>29</v>
      </c>
      <c r="F42" s="10" t="s">
        <v>30</v>
      </c>
      <c r="G42" s="12" t="n">
        <v>1088</v>
      </c>
      <c r="H42" s="10" t="s">
        <v>399</v>
      </c>
      <c r="I42" s="10" t="s">
        <v>400</v>
      </c>
      <c r="J42" s="10" t="s">
        <v>401</v>
      </c>
      <c r="K42" s="11" t="s">
        <v>402</v>
      </c>
      <c r="L42" s="11" t="s">
        <v>403</v>
      </c>
      <c r="M42" s="10" t="s">
        <v>404</v>
      </c>
      <c r="N42" s="11" t="s">
        <v>405</v>
      </c>
      <c r="O42" s="13" t="s">
        <v>161</v>
      </c>
      <c r="P42" s="11"/>
      <c r="Q42" s="11"/>
      <c r="R42" s="11"/>
      <c r="S42" s="10" t="s">
        <v>406</v>
      </c>
      <c r="T42" s="11" t="s">
        <v>407</v>
      </c>
      <c r="U42" s="10" t="n">
        <v>-29.96208</v>
      </c>
      <c r="V42" s="10" t="n">
        <v>-71.24765</v>
      </c>
      <c r="W42" s="11" t="s">
        <v>164</v>
      </c>
      <c r="X42" s="11" t="s">
        <v>142</v>
      </c>
      <c r="Y42" s="11"/>
    </row>
    <row r="43" customFormat="false" ht="36" hidden="false" customHeight="true" outlineLevel="0" collapsed="false">
      <c r="A43" s="5" t="n">
        <v>39</v>
      </c>
      <c r="B43" s="5" t="n">
        <v>20513</v>
      </c>
      <c r="C43" s="6" t="s">
        <v>408</v>
      </c>
      <c r="D43" s="5" t="s">
        <v>409</v>
      </c>
      <c r="E43" s="5" t="s">
        <v>29</v>
      </c>
      <c r="F43" s="5" t="s">
        <v>30</v>
      </c>
      <c r="G43" s="7" t="n">
        <v>787</v>
      </c>
      <c r="H43" s="5" t="s">
        <v>410</v>
      </c>
      <c r="I43" s="5" t="s">
        <v>411</v>
      </c>
      <c r="J43" s="5" t="s">
        <v>412</v>
      </c>
      <c r="K43" s="6" t="s">
        <v>413</v>
      </c>
      <c r="L43" s="8" t="s">
        <v>35</v>
      </c>
      <c r="M43" s="9" t="s">
        <v>35</v>
      </c>
      <c r="N43" s="6" t="s">
        <v>414</v>
      </c>
      <c r="O43" s="13" t="s">
        <v>161</v>
      </c>
      <c r="P43" s="6"/>
      <c r="Q43" s="6"/>
      <c r="R43" s="6"/>
      <c r="S43" s="5" t="s">
        <v>415</v>
      </c>
      <c r="T43" s="6" t="s">
        <v>416</v>
      </c>
      <c r="U43" s="5" t="n">
        <v>-29.96907</v>
      </c>
      <c r="V43" s="5" t="n">
        <v>-71.29998</v>
      </c>
      <c r="W43" s="6" t="s">
        <v>164</v>
      </c>
      <c r="X43" s="6"/>
      <c r="Y43" s="6"/>
    </row>
    <row r="44" customFormat="false" ht="36" hidden="false" customHeight="true" outlineLevel="0" collapsed="false">
      <c r="A44" s="10" t="n">
        <v>40</v>
      </c>
      <c r="B44" s="10" t="n">
        <v>41018</v>
      </c>
      <c r="C44" s="11" t="s">
        <v>417</v>
      </c>
      <c r="D44" s="10" t="s">
        <v>409</v>
      </c>
      <c r="E44" s="10" t="s">
        <v>85</v>
      </c>
      <c r="F44" s="10" t="s">
        <v>30</v>
      </c>
      <c r="G44" s="12" t="n">
        <v>226</v>
      </c>
      <c r="H44" s="10" t="s">
        <v>418</v>
      </c>
      <c r="I44" s="10" t="s">
        <v>419</v>
      </c>
      <c r="J44" s="10" t="s">
        <v>420</v>
      </c>
      <c r="K44" s="11" t="s">
        <v>421</v>
      </c>
      <c r="L44" s="14" t="s">
        <v>35</v>
      </c>
      <c r="M44" s="15" t="s">
        <v>35</v>
      </c>
      <c r="N44" s="11" t="s">
        <v>422</v>
      </c>
      <c r="O44" s="13" t="s">
        <v>161</v>
      </c>
      <c r="P44" s="11"/>
      <c r="Q44" s="11"/>
      <c r="R44" s="11"/>
      <c r="S44" s="10" t="s">
        <v>423</v>
      </c>
      <c r="T44" s="11" t="s">
        <v>424</v>
      </c>
      <c r="U44" s="10" t="n">
        <v>-29.983309</v>
      </c>
      <c r="V44" s="10" t="n">
        <v>-71.345194</v>
      </c>
      <c r="W44" s="11" t="s">
        <v>164</v>
      </c>
      <c r="X44" s="11"/>
      <c r="Y44" s="11"/>
    </row>
    <row r="45" customFormat="false" ht="36" hidden="false" customHeight="true" outlineLevel="0" collapsed="false">
      <c r="A45" s="5" t="n">
        <v>41</v>
      </c>
      <c r="B45" s="5" t="n">
        <v>13332</v>
      </c>
      <c r="C45" s="6" t="s">
        <v>425</v>
      </c>
      <c r="D45" s="5" t="s">
        <v>409</v>
      </c>
      <c r="E45" s="5" t="s">
        <v>85</v>
      </c>
      <c r="F45" s="5" t="s">
        <v>30</v>
      </c>
      <c r="G45" s="7" t="n">
        <v>347</v>
      </c>
      <c r="H45" s="5" t="s">
        <v>426</v>
      </c>
      <c r="I45" s="5" t="s">
        <v>427</v>
      </c>
      <c r="J45" s="5" t="s">
        <v>428</v>
      </c>
      <c r="K45" s="6" t="s">
        <v>429</v>
      </c>
      <c r="L45" s="8" t="s">
        <v>35</v>
      </c>
      <c r="M45" s="5" t="s">
        <v>430</v>
      </c>
      <c r="N45" s="6" t="s">
        <v>431</v>
      </c>
      <c r="O45" s="13" t="s">
        <v>161</v>
      </c>
      <c r="P45" s="6"/>
      <c r="Q45" s="6"/>
      <c r="R45" s="6"/>
      <c r="S45" s="5"/>
      <c r="T45" s="6" t="s">
        <v>432</v>
      </c>
      <c r="U45" s="5" t="n">
        <v>-29.98781012</v>
      </c>
      <c r="V45" s="5" t="n">
        <v>-71.34183347</v>
      </c>
      <c r="W45" s="6" t="s">
        <v>164</v>
      </c>
      <c r="X45" s="6" t="s">
        <v>142</v>
      </c>
      <c r="Y45" s="6" t="s">
        <v>309</v>
      </c>
    </row>
    <row r="46" customFormat="false" ht="36" hidden="false" customHeight="true" outlineLevel="0" collapsed="false">
      <c r="A46" s="10" t="n">
        <v>42</v>
      </c>
      <c r="B46" s="10" t="n">
        <v>13370</v>
      </c>
      <c r="C46" s="11" t="s">
        <v>433</v>
      </c>
      <c r="D46" s="10" t="s">
        <v>409</v>
      </c>
      <c r="E46" s="10" t="s">
        <v>85</v>
      </c>
      <c r="F46" s="10" t="s">
        <v>30</v>
      </c>
      <c r="G46" s="12" t="n">
        <v>462</v>
      </c>
      <c r="H46" s="10" t="s">
        <v>434</v>
      </c>
      <c r="I46" s="10" t="s">
        <v>435</v>
      </c>
      <c r="J46" s="10" t="s">
        <v>436</v>
      </c>
      <c r="K46" s="11" t="s">
        <v>437</v>
      </c>
      <c r="L46" s="11" t="s">
        <v>438</v>
      </c>
      <c r="M46" s="10" t="s">
        <v>289</v>
      </c>
      <c r="N46" s="11" t="s">
        <v>439</v>
      </c>
      <c r="O46" s="13" t="s">
        <v>161</v>
      </c>
      <c r="P46" s="11"/>
      <c r="Q46" s="11"/>
      <c r="R46" s="11"/>
      <c r="S46" s="10" t="s">
        <v>440</v>
      </c>
      <c r="T46" s="11" t="s">
        <v>441</v>
      </c>
      <c r="U46" s="10" t="n">
        <v>-29.95225595</v>
      </c>
      <c r="V46" s="10" t="n">
        <v>-71.26876285</v>
      </c>
      <c r="W46" s="11" t="s">
        <v>164</v>
      </c>
      <c r="X46" s="11" t="s">
        <v>142</v>
      </c>
      <c r="Y46" s="11"/>
    </row>
    <row r="47" customFormat="false" ht="36" hidden="false" customHeight="true" outlineLevel="0" collapsed="false">
      <c r="A47" s="5" t="n">
        <v>43</v>
      </c>
      <c r="B47" s="5" t="n">
        <v>11103</v>
      </c>
      <c r="C47" s="6" t="s">
        <v>442</v>
      </c>
      <c r="D47" s="5" t="s">
        <v>409</v>
      </c>
      <c r="E47" s="5" t="s">
        <v>29</v>
      </c>
      <c r="F47" s="5" t="s">
        <v>30</v>
      </c>
      <c r="G47" s="7" t="n">
        <v>406</v>
      </c>
      <c r="H47" s="5" t="s">
        <v>443</v>
      </c>
      <c r="I47" s="5" t="s">
        <v>444</v>
      </c>
      <c r="J47" s="5" t="s">
        <v>445</v>
      </c>
      <c r="K47" s="6" t="s">
        <v>446</v>
      </c>
      <c r="L47" s="8" t="s">
        <v>35</v>
      </c>
      <c r="M47" s="5" t="s">
        <v>404</v>
      </c>
      <c r="N47" s="6" t="s">
        <v>447</v>
      </c>
      <c r="O47" s="13" t="s">
        <v>161</v>
      </c>
      <c r="P47" s="6"/>
      <c r="Q47" s="6"/>
      <c r="R47" s="6"/>
      <c r="S47" s="5" t="s">
        <v>448</v>
      </c>
      <c r="T47" s="6" t="s">
        <v>449</v>
      </c>
      <c r="U47" s="5" t="n">
        <v>-29.96313267</v>
      </c>
      <c r="V47" s="5" t="n">
        <v>-71.33971086</v>
      </c>
      <c r="W47" s="6" t="s">
        <v>164</v>
      </c>
      <c r="X47" s="6" t="s">
        <v>142</v>
      </c>
      <c r="Y47" s="6"/>
    </row>
  </sheetData>
  <autoFilter ref="A4:Y4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7" min="2" style="1" width="17"/>
  </cols>
  <sheetData>
    <row r="1" customFormat="false" ht="16.5" hidden="false" customHeight="true" outlineLevel="0" collapsed="false">
      <c r="A1" s="16" t="s">
        <v>450</v>
      </c>
    </row>
    <row r="3" customFormat="false" ht="31.5" hidden="false" customHeight="true" outlineLevel="0" collapsed="false">
      <c r="A3" s="17" t="s">
        <v>5</v>
      </c>
      <c r="B3" s="17" t="s">
        <v>451</v>
      </c>
      <c r="C3" s="17" t="s">
        <v>452</v>
      </c>
      <c r="D3" s="17" t="s">
        <v>453</v>
      </c>
      <c r="E3" s="17" t="s">
        <v>454</v>
      </c>
      <c r="F3" s="17" t="s">
        <v>455</v>
      </c>
      <c r="G3" s="17" t="s">
        <v>456</v>
      </c>
    </row>
    <row r="4" customFormat="false" ht="15" hidden="false" customHeight="true" outlineLevel="0" collapsed="false">
      <c r="A4" s="18" t="s">
        <v>28</v>
      </c>
      <c r="B4" s="18" t="n">
        <f aca="false">COUNTIF(Base!$D$5:$D$47,A4)</f>
        <v>10</v>
      </c>
      <c r="C4" s="19" t="n">
        <f aca="false">SUMIF(Base!$D$5:$D$47,A4,Base!$G$5:$G$47)</f>
        <v>6181</v>
      </c>
      <c r="D4" s="18" t="n">
        <f aca="false">COUNTIFS(Base!$D$5:$D$47,A4,Base!$H$5:$H$47,"&lt;&gt;Sin información")</f>
        <v>10</v>
      </c>
      <c r="E4" s="18" t="n">
        <f aca="false">COUNTIFS(Base!$D$5:$D$47,A4,Base!$L$5:$L$47,"&lt;&gt;Sin información")</f>
        <v>9</v>
      </c>
      <c r="F4" s="18" t="n">
        <f aca="false">COUNTIFS(Base!$D$5:$D$47,A4,Base!$O$5:$O$47,"&lt;&gt;Por completar",Base!$O$5:$O$47,"&lt;&gt;No aplica")</f>
        <v>10</v>
      </c>
      <c r="G4" s="18" t="n">
        <f aca="false">COUNTIFS(Base!$D$5:$D$47,A4,Base!$O$5:$O$47,"Por completar")</f>
        <v>0</v>
      </c>
    </row>
    <row r="5" customFormat="false" ht="15" hidden="false" customHeight="true" outlineLevel="0" collapsed="false">
      <c r="A5" s="18" t="s">
        <v>154</v>
      </c>
      <c r="B5" s="18" t="n">
        <f aca="false">COUNTIF(Base!$D$5:$D$47,A5)</f>
        <v>28</v>
      </c>
      <c r="C5" s="19" t="n">
        <f aca="false">SUMIF(Base!$D$5:$D$47,A5,Base!$G$5:$G$47)</f>
        <v>22239</v>
      </c>
      <c r="D5" s="18" t="n">
        <f aca="false">COUNTIFS(Base!$D$5:$D$47,A5,Base!$H$5:$H$47,"&lt;&gt;Sin información")</f>
        <v>28</v>
      </c>
      <c r="E5" s="18" t="n">
        <f aca="false">COUNTIFS(Base!$D$5:$D$47,A5,Base!$L$5:$L$47,"&lt;&gt;Sin información")</f>
        <v>8</v>
      </c>
      <c r="F5" s="18" t="n">
        <f aca="false">COUNTIFS(Base!$D$5:$D$47,A5,Base!$O$5:$O$47,"&lt;&gt;Por completar",Base!$O$5:$O$47,"&lt;&gt;No aplica")</f>
        <v>0</v>
      </c>
      <c r="G5" s="18" t="n">
        <f aca="false">COUNTIFS(Base!$D$5:$D$47,A5,Base!$O$5:$O$47,"Por completar")</f>
        <v>28</v>
      </c>
    </row>
    <row r="6" customFormat="false" ht="15" hidden="false" customHeight="true" outlineLevel="0" collapsed="false">
      <c r="A6" s="18" t="s">
        <v>409</v>
      </c>
      <c r="B6" s="18" t="n">
        <f aca="false">COUNTIF(Base!$D$5:$D$47,A6)</f>
        <v>5</v>
      </c>
      <c r="C6" s="19" t="n">
        <f aca="false">SUMIF(Base!$D$5:$D$47,A6,Base!$G$5:$G$47)</f>
        <v>2228</v>
      </c>
      <c r="D6" s="18" t="n">
        <f aca="false">COUNTIFS(Base!$D$5:$D$47,A6,Base!$H$5:$H$47,"&lt;&gt;Sin información")</f>
        <v>5</v>
      </c>
      <c r="E6" s="18" t="n">
        <f aca="false">COUNTIFS(Base!$D$5:$D$47,A6,Base!$L$5:$L$47,"&lt;&gt;Sin información")</f>
        <v>1</v>
      </c>
      <c r="F6" s="18" t="n">
        <f aca="false">COUNTIFS(Base!$D$5:$D$47,A6,Base!$O$5:$O$47,"&lt;&gt;Por completar",Base!$O$5:$O$47,"&lt;&gt;No aplica")</f>
        <v>0</v>
      </c>
      <c r="G6" s="18" t="n">
        <f aca="false">COUNTIFS(Base!$D$5:$D$47,A6,Base!$O$5:$O$47,"Por completar")</f>
        <v>5</v>
      </c>
    </row>
    <row r="7" customFormat="false" ht="15" hidden="false" customHeight="true" outlineLevel="0" collapsed="false">
      <c r="A7" s="20" t="s">
        <v>457</v>
      </c>
      <c r="B7" s="20" t="n">
        <f aca="false">SUM(B4:B6)</f>
        <v>43</v>
      </c>
      <c r="C7" s="21" t="n">
        <f aca="false">SUM(C4:C6)</f>
        <v>30648</v>
      </c>
      <c r="D7" s="20" t="n">
        <f aca="false">SUM(D4:D6)</f>
        <v>43</v>
      </c>
      <c r="E7" s="20" t="n">
        <f aca="false">SUM(E4:E6)</f>
        <v>18</v>
      </c>
      <c r="F7" s="20" t="n">
        <f aca="false">SUM(F4:F6)</f>
        <v>10</v>
      </c>
      <c r="G7" s="20" t="n">
        <f aca="false">SUM(G4:G6)</f>
        <v>33</v>
      </c>
    </row>
    <row r="8" customFormat="false" ht="15" hidden="false" customHeight="true" outlineLevel="0" collapsed="false"/>
    <row r="9" customFormat="false" ht="15" hidden="false" customHeight="true" outlineLevel="0" collapsed="false">
      <c r="A9" s="17" t="s">
        <v>458</v>
      </c>
      <c r="B9" s="17" t="s">
        <v>451</v>
      </c>
    </row>
    <row r="10" customFormat="false" ht="15" hidden="false" customHeight="true" outlineLevel="0" collapsed="false">
      <c r="A10" s="18" t="s">
        <v>459</v>
      </c>
      <c r="B10" s="18" t="n">
        <f aca="false">COUNTIFS(Base!$E$5:$E$47,"*Media HC*",Base!$E$5:$E$47,"&lt;&gt;*Media TP*")</f>
        <v>32</v>
      </c>
    </row>
    <row r="11" customFormat="false" ht="15" hidden="false" customHeight="false" outlineLevel="0" collapsed="false">
      <c r="A11" s="18" t="s">
        <v>460</v>
      </c>
      <c r="B11" s="18" t="n">
        <f aca="false">COUNTIFS(Base!$E$5:$E$47,"*Media TP*",Base!$E$5:$E$47,"&lt;&gt;*Media HC*")</f>
        <v>4</v>
      </c>
    </row>
    <row r="12" customFormat="false" ht="15" hidden="false" customHeight="true" outlineLevel="0" collapsed="false">
      <c r="A12" s="18" t="s">
        <v>461</v>
      </c>
      <c r="B12" s="18" t="n">
        <f aca="false">COUNTIFS(Base!$E$5:$E$47,"*Media HC*",Base!$E$5:$E$47,"*Media TP*")</f>
        <v>7</v>
      </c>
    </row>
    <row r="13" customFormat="false" ht="15" hidden="false" customHeight="true" outlineLevel="0" collapsed="false">
      <c r="A13" s="20" t="s">
        <v>457</v>
      </c>
      <c r="B13" s="20" t="n">
        <f aca="false">SUM(B10:B12)</f>
        <v>43</v>
      </c>
    </row>
    <row r="15" customFormat="false" ht="15" hidden="false" customHeight="false" outlineLevel="0" collapsed="false">
      <c r="A15" s="3" t="s">
        <v>462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20"/>
  </cols>
  <sheetData>
    <row r="1" customFormat="false" ht="15.75" hidden="false" customHeight="true" outlineLevel="0" collapsed="false">
      <c r="A1" s="22" t="s">
        <v>463</v>
      </c>
    </row>
    <row r="2" customFormat="false" ht="25.5" hidden="false" customHeight="true" outlineLevel="0" collapsed="false">
      <c r="A2" s="23" t="s">
        <v>464</v>
      </c>
      <c r="B2" s="24" t="s">
        <v>465</v>
      </c>
    </row>
    <row r="3" customFormat="false" ht="25.5" hidden="false" customHeight="true" outlineLevel="0" collapsed="false">
      <c r="A3" s="23" t="s">
        <v>466</v>
      </c>
      <c r="B3" s="24" t="s">
        <v>467</v>
      </c>
    </row>
    <row r="4" customFormat="false" ht="25.5" hidden="false" customHeight="true" outlineLevel="0" collapsed="false">
      <c r="A4" s="23" t="s">
        <v>468</v>
      </c>
      <c r="B4" s="24" t="s">
        <v>469</v>
      </c>
    </row>
    <row r="5" customFormat="false" ht="25.5" hidden="false" customHeight="true" outlineLevel="0" collapsed="false">
      <c r="A5" s="23" t="s">
        <v>470</v>
      </c>
      <c r="B5" s="24" t="s">
        <v>471</v>
      </c>
    </row>
    <row r="6" customFormat="false" ht="38.25" hidden="false" customHeight="true" outlineLevel="0" collapsed="false">
      <c r="A6" s="23" t="s">
        <v>472</v>
      </c>
      <c r="B6" s="24" t="s">
        <v>473</v>
      </c>
    </row>
    <row r="7" customFormat="false" ht="15.75" hidden="false" customHeight="true" outlineLevel="0" collapsed="false">
      <c r="A7" s="22" t="s">
        <v>474</v>
      </c>
    </row>
    <row r="8" customFormat="false" ht="25.5" hidden="false" customHeight="true" outlineLevel="0" collapsed="false">
      <c r="A8" s="23" t="s">
        <v>475</v>
      </c>
      <c r="B8" s="24" t="s">
        <v>476</v>
      </c>
    </row>
    <row r="9" customFormat="false" ht="25.5" hidden="false" customHeight="true" outlineLevel="0" collapsed="false">
      <c r="A9" s="23" t="s">
        <v>477</v>
      </c>
      <c r="B9" s="24" t="s">
        <v>478</v>
      </c>
    </row>
    <row r="10" customFormat="false" ht="63.75" hidden="false" customHeight="true" outlineLevel="0" collapsed="false">
      <c r="A10" s="23" t="s">
        <v>479</v>
      </c>
      <c r="B10" s="24" t="s">
        <v>480</v>
      </c>
    </row>
    <row r="11" customFormat="false" ht="38.25" hidden="false" customHeight="true" outlineLevel="0" collapsed="false">
      <c r="A11" s="23" t="s">
        <v>481</v>
      </c>
      <c r="B11" s="24" t="s">
        <v>482</v>
      </c>
    </row>
    <row r="12" customFormat="false" ht="25.5" hidden="false" customHeight="true" outlineLevel="0" collapsed="false">
      <c r="A12" s="23" t="s">
        <v>483</v>
      </c>
      <c r="B12" s="24" t="s">
        <v>484</v>
      </c>
    </row>
    <row r="13" customFormat="false" ht="25.5" hidden="false" customHeight="true" outlineLevel="0" collapsed="false">
      <c r="A13" s="23" t="s">
        <v>485</v>
      </c>
      <c r="B13" s="24" t="s">
        <v>486</v>
      </c>
    </row>
    <row r="14" customFormat="false" ht="25.5" hidden="false" customHeight="true" outlineLevel="0" collapsed="false">
      <c r="A14" s="23"/>
      <c r="B14" s="2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2026-10-05T19:20:13Z</dcterms:created>
  <dc:creator>openpyxl</dc:creator>
  <dc:description/>
  <dc:language>en-US</dc:language>
  <cp:lastModifiedBy>U-3432</cp:lastModifiedBy>
  <dcterms:modified xsi:type="dcterms:W3CDTF">2026-10-23T18:40:33Z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